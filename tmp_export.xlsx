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3" autoFilterDateGrouping="1"/>
  </bookViews>
  <sheets>
    <sheet name="CALCULO DE MATERIALES CIRCON" sheetId="1" state="hidden" r:id="rId1"/>
    <sheet name="CALCULOS MATERIALES GEMA AZUL" sheetId="2" state="visible" r:id="rId2"/>
    <sheet name="GEMA AZUL (7.3X3.5)" sheetId="3" state="visible" r:id="rId3"/>
    <sheet name="CALCULOS DE MATERIALES TURQUESA" sheetId="4" state="visible" r:id="rId4"/>
    <sheet name="TURQUESA (6,5X3,1) INES Y PABLO" sheetId="5" state="visible" r:id="rId5"/>
    <sheet name="Citrino - Luis Figueroa" sheetId="6" state="visible" r:id="rId6"/>
    <sheet name="Test Pool - Test Cliente" sheetId="7" state="visible" r:id="rId7"/>
    <sheet name="Coral - Jorge Cayo" sheetId="8" state="visible" r:id="rId8"/>
    <sheet name="Citrino - Eugenio Lopez" sheetId="9" state="visible" r:id="rId9"/>
    <sheet name="Circón - GASTON VILLARUEL" sheetId="10" state="visible" r:id="rId10"/>
  </sheets>
  <definedNames>
    <definedName name="grilla" localSheetId="0" hidden="0" function="0" vbProcedure="0">'CALCULO DE MATERIALES CIRCON'!$P$9:$AB$34</definedName>
    <definedName name="grilla" localSheetId="1" hidden="0" function="0" vbProcedure="0">'CALCULOS MATERIALES GEMA AZUL'!$P$9:$AB$34</definedName>
    <definedName name="grilla" localSheetId="3" hidden="0" function="0" vbProcedure="0">'CALCULOS DE MATERIALES TURQUESA'!$P$9:$AB$34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[$$-2C0A]#,##0.00;[RED]\([$$-2C0A]#,##0.00\)"/>
    <numFmt numFmtId="165" formatCode="0;[RED]\-0"/>
    <numFmt numFmtId="166" formatCode="dd/mm/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i val="1"/>
      <color theme="1"/>
      <sz val="11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theme="1"/>
      <sz val="8"/>
    </font>
    <font>
      <name val="Adwaita Mono"/>
      <charset val="1"/>
      <family val="0"/>
      <color theme="1"/>
      <sz val="8"/>
    </font>
    <font>
      <name val="Calibri"/>
      <charset val="1"/>
      <family val="2"/>
      <b val="1"/>
      <color theme="1"/>
      <sz val="8"/>
      <u val="single"/>
    </font>
    <font>
      <name val="Calibri"/>
      <charset val="1"/>
      <family val="2"/>
      <b val="1"/>
      <color theme="1"/>
      <sz val="10"/>
    </font>
    <font>
      <name val="Calibri"/>
      <charset val="1"/>
      <family val="2"/>
      <i val="1"/>
      <color theme="1"/>
      <sz val="10"/>
    </font>
    <font>
      <name val="Calibri"/>
      <charset val="1"/>
      <family val="2"/>
      <b val="1"/>
      <color theme="1"/>
      <sz val="11"/>
      <u val="single"/>
    </font>
    <font>
      <name val="Calibri"/>
      <charset val="1"/>
      <family val="2"/>
      <b val="1"/>
      <color theme="1"/>
      <sz val="11"/>
    </font>
    <font>
      <name val="Arial"/>
      <b val="1"/>
      <sz val="14"/>
    </font>
    <font>
      <name val="Arial"/>
      <b val="1"/>
      <sz val="11"/>
    </font>
    <font>
      <name val="Arial"/>
      <b val="1"/>
      <sz val="12"/>
    </font>
  </fonts>
  <fills count="20">
    <fill>
      <patternFill/>
    </fill>
    <fill>
      <patternFill patternType="gray125"/>
    </fill>
    <fill>
      <patternFill patternType="solid">
        <fgColor rgb="FFFFFFCC"/>
        <bgColor rgb="FFF0FFF0"/>
      </patternFill>
    </fill>
    <fill>
      <patternFill patternType="solid">
        <fgColor rgb="FFFFFFFF"/>
        <bgColor rgb="FFF5FFFA"/>
      </patternFill>
    </fill>
    <fill>
      <patternFill patternType="solid">
        <fgColor rgb="FF000000"/>
        <bgColor rgb="FF003300"/>
      </patternFill>
    </fill>
    <fill>
      <patternFill patternType="solid">
        <fgColor rgb="FF90EE90"/>
        <bgColor rgb="FF98FB98"/>
      </patternFill>
    </fill>
    <fill>
      <patternFill patternType="solid">
        <fgColor rgb="FF7CFC00"/>
        <bgColor rgb="FF90EE90"/>
      </patternFill>
    </fill>
    <fill>
      <patternFill patternType="solid">
        <fgColor rgb="FFDAA520"/>
        <bgColor rgb="FFFFD700"/>
      </patternFill>
    </fill>
    <fill>
      <patternFill patternType="solid">
        <fgColor rgb="FFFFE4E1"/>
        <bgColor rgb="FFFFE4C4"/>
      </patternFill>
    </fill>
    <fill>
      <patternFill patternType="solid">
        <fgColor rgb="FFFF1493"/>
        <bgColor rgb="FFFF00FF"/>
      </patternFill>
    </fill>
    <fill>
      <patternFill patternType="solid">
        <fgColor rgb="FF66CDAA"/>
        <bgColor rgb="FF48D1CC"/>
      </patternFill>
    </fill>
    <fill>
      <patternFill patternType="solid">
        <fgColor rgb="FF98FB98"/>
        <bgColor rgb="FF90EE90"/>
      </patternFill>
    </fill>
    <fill>
      <patternFill patternType="solid">
        <fgColor rgb="FFE0FFFF"/>
        <bgColor rgb="FFF0FFF0"/>
      </patternFill>
    </fill>
    <fill>
      <patternFill patternType="solid">
        <fgColor rgb="FFF5FFFA"/>
        <bgColor rgb="FFF0FFF0"/>
      </patternFill>
    </fill>
    <fill>
      <patternFill patternType="solid">
        <fgColor rgb="FFFF69B4"/>
        <bgColor rgb="FFFF99CC"/>
      </patternFill>
    </fill>
    <fill>
      <patternFill patternType="solid">
        <fgColor rgb="FFFFE4C4"/>
        <bgColor rgb="FFFFE4E1"/>
      </patternFill>
    </fill>
    <fill>
      <patternFill patternType="solid">
        <fgColor rgb="FF48D1CC"/>
        <bgColor rgb="FF66CDAA"/>
      </patternFill>
    </fill>
    <fill>
      <patternFill patternType="solid">
        <fgColor rgb="FF00FA9A"/>
        <bgColor rgb="FF00FFFF"/>
      </patternFill>
    </fill>
    <fill>
      <patternFill patternType="solid">
        <fgColor rgb="FFF0FFF0"/>
        <bgColor rgb="FFF5FFFA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52A2A"/>
      </left>
      <right style="thin">
        <color rgb="FFA52A2A"/>
      </right>
      <top style="thin">
        <color rgb="FFA52A2A"/>
      </top>
      <bottom style="thin">
        <color rgb="FFA52A2A"/>
      </bottom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 style="thin">
        <color rgb="FFA52A2A"/>
      </right>
      <top style="thin">
        <color rgb="FFA52A2A"/>
      </top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0" fillId="2" borderId="1" applyAlignment="1">
      <alignment horizontal="general" vertical="bottom"/>
    </xf>
  </cellStyleXfs>
  <cellXfs count="248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164" fontId="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6" fillId="8" borderId="0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9" borderId="3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1" fontId="11" fillId="0" borderId="0" applyAlignment="1" pivotButton="0" quotePrefix="0" xfId="20">
      <alignment horizontal="general" vertical="bottom"/>
    </xf>
    <xf numFmtId="1" fontId="11" fillId="3" borderId="0" applyAlignment="1" pivotButton="0" quotePrefix="0" xfId="20">
      <alignment horizontal="general" vertical="bottom"/>
    </xf>
    <xf numFmtId="0" fontId="0" fillId="0" borderId="0" applyAlignment="1" pivotButton="0" quotePrefix="0" xfId="21">
      <alignment horizontal="general" vertical="bottom"/>
    </xf>
    <xf numFmtId="0" fontId="7" fillId="9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bottom"/>
    </xf>
    <xf numFmtId="0" fontId="10" fillId="3" borderId="3" applyAlignment="1" pivotButton="0" quotePrefix="0" xfId="0">
      <alignment horizontal="center" vertical="bottom"/>
    </xf>
    <xf numFmtId="0" fontId="10" fillId="11" borderId="3" applyAlignment="1" pivotButton="0" quotePrefix="0" xfId="0">
      <alignment horizontal="center" vertical="center" wrapText="1"/>
    </xf>
    <xf numFmtId="0" fontId="11" fillId="12" borderId="3" applyAlignment="1" pivotButton="0" quotePrefix="0" xfId="20">
      <alignment horizontal="general" vertical="bottom"/>
    </xf>
    <xf numFmtId="1" fontId="11" fillId="12" borderId="3" applyAlignment="1" pivotButton="0" quotePrefix="0" xfId="20">
      <alignment horizontal="right" vertical="center"/>
    </xf>
    <xf numFmtId="1" fontId="11" fillId="0" borderId="3" applyAlignment="1" pivotButton="0" quotePrefix="0" xfId="20">
      <alignment horizontal="right" vertical="center"/>
    </xf>
    <xf numFmtId="0" fontId="5" fillId="13" borderId="3" applyAlignment="1" pivotButton="0" quotePrefix="0" xfId="0">
      <alignment horizontal="general" vertical="bottom" wrapText="1"/>
    </xf>
    <xf numFmtId="1" fontId="5" fillId="13" borderId="4" applyAlignment="1" pivotButton="0" quotePrefix="0" xfId="0">
      <alignment horizontal="right" vertical="center"/>
    </xf>
    <xf numFmtId="2" fontId="0" fillId="0" borderId="0" applyAlignment="1" pivotButton="0" quotePrefix="0" xfId="0">
      <alignment horizontal="general" vertical="bottom"/>
    </xf>
    <xf numFmtId="0" fontId="5" fillId="13" borderId="3" applyAlignment="1" pivotButton="0" quotePrefix="0" xfId="0">
      <alignment horizontal="right" vertical="center" wrapText="1"/>
    </xf>
    <xf numFmtId="2" fontId="6" fillId="0" borderId="0" applyAlignment="1" pivotButton="0" quotePrefix="0" xfId="0">
      <alignment horizontal="general" vertical="bottom"/>
    </xf>
    <xf numFmtId="0" fontId="7" fillId="14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general" vertical="bottom"/>
    </xf>
    <xf numFmtId="165" fontId="5" fillId="12" borderId="3" applyAlignment="1" pivotButton="0" quotePrefix="0" xfId="0">
      <alignment horizontal="right" vertical="center"/>
    </xf>
    <xf numFmtId="165" fontId="5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" fontId="5" fillId="12" borderId="3" applyAlignment="1" pivotButton="0" quotePrefix="0" xfId="0">
      <alignment horizontal="right" vertical="center"/>
    </xf>
    <xf numFmtId="1" fontId="5" fillId="0" borderId="3" applyAlignment="1" pivotButton="0" quotePrefix="0" xfId="0">
      <alignment horizontal="right" vertical="center"/>
    </xf>
    <xf numFmtId="0" fontId="11" fillId="13" borderId="3" applyAlignment="1" pivotButton="0" quotePrefix="0" xfId="20">
      <alignment horizontal="general" vertical="bottom"/>
    </xf>
    <xf numFmtId="1" fontId="11" fillId="13" borderId="3" applyAlignment="1" pivotButton="0" quotePrefix="0" xfId="20">
      <alignment horizontal="right" vertical="center"/>
    </xf>
    <xf numFmtId="0" fontId="5" fillId="12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" fontId="5" fillId="13" borderId="3" applyAlignment="1" pivotButton="0" quotePrefix="0" xfId="0">
      <alignment horizontal="right" vertical="center" wrapText="1"/>
    </xf>
    <xf numFmtId="0" fontId="5" fillId="13" borderId="4" applyAlignment="1" pivotButton="0" quotePrefix="0" xfId="0">
      <alignment horizontal="general" vertical="bottom"/>
    </xf>
    <xf numFmtId="0" fontId="5" fillId="13" borderId="4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13" borderId="3" applyAlignment="1" pivotButton="0" quotePrefix="0" xfId="0">
      <alignment horizontal="right" vertical="center" wrapText="1"/>
    </xf>
    <xf numFmtId="0" fontId="5" fillId="13" borderId="3" applyAlignment="1" pivotButton="0" quotePrefix="0" xfId="0">
      <alignment horizontal="general" vertical="bottom"/>
    </xf>
    <xf numFmtId="164" fontId="5" fillId="13" borderId="3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15" borderId="0" applyAlignment="1" pivotButton="0" quotePrefix="0" xfId="0">
      <alignment horizontal="general" vertical="bottom" wrapText="1"/>
    </xf>
    <xf numFmtId="0" fontId="6" fillId="0" borderId="6" applyAlignment="1" pivotButton="0" quotePrefix="0" xfId="0">
      <alignment horizontal="general" vertical="bottom"/>
    </xf>
    <xf numFmtId="0" fontId="10" fillId="16" borderId="3" applyAlignment="1" pivotButton="0" quotePrefix="0" xfId="0">
      <alignment horizontal="center" vertical="bottom"/>
    </xf>
    <xf numFmtId="0" fontId="10" fillId="17" borderId="3" applyAlignment="1" pivotButton="0" quotePrefix="0" xfId="0">
      <alignment horizontal="center" vertical="center" wrapText="1"/>
    </xf>
    <xf numFmtId="1" fontId="11" fillId="3" borderId="3" applyAlignment="1" pivotButton="0" quotePrefix="0" xfId="20">
      <alignment horizontal="right" vertical="center"/>
    </xf>
    <xf numFmtId="0" fontId="5" fillId="18" borderId="3" applyAlignment="1" pivotButton="0" quotePrefix="0" xfId="0">
      <alignment horizontal="general" vertical="bottom" wrapText="1"/>
    </xf>
    <xf numFmtId="1" fontId="5" fillId="18" borderId="4" applyAlignment="1" pivotButton="0" quotePrefix="0" xfId="0">
      <alignment horizontal="right" vertical="center"/>
    </xf>
    <xf numFmtId="0" fontId="5" fillId="18" borderId="3" applyAlignment="1" pivotButton="0" quotePrefix="0" xfId="0">
      <alignment horizontal="right" vertical="center" wrapText="1"/>
    </xf>
    <xf numFmtId="0" fontId="6" fillId="14" borderId="3" applyAlignment="1" pivotButton="0" quotePrefix="0" xfId="0">
      <alignment horizontal="general" vertical="bottom"/>
    </xf>
    <xf numFmtId="1" fontId="5" fillId="3" borderId="3" applyAlignment="1" pivotButton="0" quotePrefix="0" xfId="0">
      <alignment horizontal="right" vertical="center"/>
    </xf>
    <xf numFmtId="0" fontId="11" fillId="18" borderId="3" applyAlignment="1" pivotButton="0" quotePrefix="0" xfId="20">
      <alignment horizontal="general" vertical="bottom"/>
    </xf>
    <xf numFmtId="1" fontId="11" fillId="18" borderId="3" applyAlignment="1" pivotButton="0" quotePrefix="0" xfId="20">
      <alignment horizontal="right" vertical="center"/>
    </xf>
    <xf numFmtId="0" fontId="5" fillId="3" borderId="3" applyAlignment="1" pivotButton="0" quotePrefix="0" xfId="0">
      <alignment horizontal="right" vertical="center"/>
    </xf>
    <xf numFmtId="1" fontId="5" fillId="18" borderId="3" applyAlignment="1" pivotButton="0" quotePrefix="0" xfId="0">
      <alignment horizontal="right" vertical="center" wrapText="1"/>
    </xf>
    <xf numFmtId="0" fontId="5" fillId="18" borderId="4" applyAlignment="1" pivotButton="0" quotePrefix="0" xfId="0">
      <alignment horizontal="general" vertical="bottom"/>
    </xf>
    <xf numFmtId="0" fontId="5" fillId="18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 wrapText="1"/>
    </xf>
    <xf numFmtId="0" fontId="5" fillId="18" borderId="3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/>
    </xf>
    <xf numFmtId="1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19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right" vertical="center" wrapText="1"/>
    </xf>
    <xf numFmtId="0" fontId="12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right" vertical="bottom"/>
    </xf>
    <xf numFmtId="0" fontId="12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0" fontId="13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2" fillId="0" borderId="4" applyAlignment="1" pivotButton="0" quotePrefix="0" xfId="0">
      <alignment horizontal="right" vertical="bottom"/>
    </xf>
    <xf numFmtId="0" fontId="0" fillId="0" borderId="5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justify" vertical="center"/>
    </xf>
    <xf numFmtId="0" fontId="0" fillId="0" borderId="11" applyAlignment="1" pivotButton="0" quotePrefix="0" xfId="0">
      <alignment horizontal="general" vertical="bottom"/>
    </xf>
    <xf numFmtId="0" fontId="0" fillId="0" borderId="12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0" borderId="4" applyAlignment="1" pivotButton="0" quotePrefix="0" xfId="0">
      <alignment horizontal="right" vertical="bottom" wrapText="1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164" fontId="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6" fillId="8" borderId="0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/>
    </xf>
    <xf numFmtId="0" fontId="6" fillId="9" borderId="3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1" fontId="11" fillId="0" borderId="0" applyAlignment="1" pivotButton="0" quotePrefix="0" xfId="20">
      <alignment horizontal="general" vertical="bottom"/>
    </xf>
    <xf numFmtId="1" fontId="11" fillId="3" borderId="0" applyAlignment="1" pivotButton="0" quotePrefix="0" xfId="20">
      <alignment horizontal="general" vertical="bottom"/>
    </xf>
    <xf numFmtId="0" fontId="0" fillId="0" borderId="0" applyAlignment="1" pivotButton="0" quotePrefix="0" xfId="21">
      <alignment horizontal="general" vertical="bottom"/>
    </xf>
    <xf numFmtId="0" fontId="7" fillId="9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bottom"/>
    </xf>
    <xf numFmtId="0" fontId="0" fillId="0" borderId="13" pivotButton="0" quotePrefix="0" xfId="0"/>
    <xf numFmtId="0" fontId="10" fillId="3" borderId="3" applyAlignment="1" pivotButton="0" quotePrefix="0" xfId="0">
      <alignment horizontal="center" vertical="bottom"/>
    </xf>
    <xf numFmtId="0" fontId="10" fillId="11" borderId="3" applyAlignment="1" pivotButton="0" quotePrefix="0" xfId="0">
      <alignment horizontal="center" vertical="center" wrapText="1"/>
    </xf>
    <xf numFmtId="0" fontId="11" fillId="12" borderId="3" applyAlignment="1" pivotButton="0" quotePrefix="0" xfId="20">
      <alignment horizontal="general" vertical="bottom"/>
    </xf>
    <xf numFmtId="1" fontId="11" fillId="12" borderId="3" applyAlignment="1" pivotButton="0" quotePrefix="0" xfId="20">
      <alignment horizontal="right" vertical="center"/>
    </xf>
    <xf numFmtId="1" fontId="11" fillId="0" borderId="3" applyAlignment="1" pivotButton="0" quotePrefix="0" xfId="20">
      <alignment horizontal="right" vertical="center"/>
    </xf>
    <xf numFmtId="0" fontId="5" fillId="13" borderId="3" applyAlignment="1" pivotButton="0" quotePrefix="0" xfId="0">
      <alignment horizontal="general" vertical="bottom" wrapText="1"/>
    </xf>
    <xf numFmtId="1" fontId="5" fillId="13" borderId="4" applyAlignment="1" pivotButton="0" quotePrefix="0" xfId="0">
      <alignment horizontal="right" vertical="center"/>
    </xf>
    <xf numFmtId="2" fontId="0" fillId="0" borderId="0" applyAlignment="1" pivotButton="0" quotePrefix="0" xfId="0">
      <alignment horizontal="general" vertical="bottom"/>
    </xf>
    <xf numFmtId="0" fontId="5" fillId="13" borderId="3" applyAlignment="1" pivotButton="0" quotePrefix="0" xfId="0">
      <alignment horizontal="right" vertical="center" wrapText="1"/>
    </xf>
    <xf numFmtId="2" fontId="6" fillId="0" borderId="0" applyAlignment="1" pivotButton="0" quotePrefix="0" xfId="0">
      <alignment horizontal="general" vertical="bottom"/>
    </xf>
    <xf numFmtId="0" fontId="7" fillId="14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general" vertical="bottom"/>
    </xf>
    <xf numFmtId="165" fontId="5" fillId="12" borderId="3" applyAlignment="1" pivotButton="0" quotePrefix="0" xfId="0">
      <alignment horizontal="right" vertical="center"/>
    </xf>
    <xf numFmtId="165" fontId="5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" fontId="5" fillId="12" borderId="3" applyAlignment="1" pivotButton="0" quotePrefix="0" xfId="0">
      <alignment horizontal="right" vertical="center"/>
    </xf>
    <xf numFmtId="1" fontId="5" fillId="0" borderId="3" applyAlignment="1" pivotButton="0" quotePrefix="0" xfId="0">
      <alignment horizontal="right" vertical="center"/>
    </xf>
    <xf numFmtId="0" fontId="11" fillId="13" borderId="3" applyAlignment="1" pivotButton="0" quotePrefix="0" xfId="20">
      <alignment horizontal="general" vertical="bottom"/>
    </xf>
    <xf numFmtId="1" fontId="11" fillId="13" borderId="3" applyAlignment="1" pivotButton="0" quotePrefix="0" xfId="20">
      <alignment horizontal="right" vertical="center"/>
    </xf>
    <xf numFmtId="0" fontId="5" fillId="12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" fontId="5" fillId="13" borderId="3" applyAlignment="1" pivotButton="0" quotePrefix="0" xfId="0">
      <alignment horizontal="right" vertical="center" wrapText="1"/>
    </xf>
    <xf numFmtId="0" fontId="5" fillId="13" borderId="4" applyAlignment="1" pivotButton="0" quotePrefix="0" xfId="0">
      <alignment horizontal="general" vertical="bottom"/>
    </xf>
    <xf numFmtId="0" fontId="5" fillId="13" borderId="4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center"/>
    </xf>
    <xf numFmtId="164" fontId="5" fillId="13" borderId="3" applyAlignment="1" pivotButton="0" quotePrefix="0" xfId="0">
      <alignment horizontal="right" vertical="center" wrapText="1"/>
    </xf>
    <xf numFmtId="0" fontId="5" fillId="13" borderId="3" applyAlignment="1" pivotButton="0" quotePrefix="0" xfId="0">
      <alignment horizontal="general" vertical="bottom"/>
    </xf>
    <xf numFmtId="164" fontId="5" fillId="13" borderId="3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3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15" borderId="0" applyAlignment="1" pivotButton="0" quotePrefix="0" xfId="0">
      <alignment horizontal="general" vertical="bottom" wrapText="1"/>
    </xf>
    <xf numFmtId="0" fontId="6" fillId="0" borderId="6" applyAlignment="1" pivotButton="0" quotePrefix="0" xfId="0">
      <alignment horizontal="general" vertical="bottom"/>
    </xf>
    <xf numFmtId="0" fontId="10" fillId="16" borderId="3" applyAlignment="1" pivotButton="0" quotePrefix="0" xfId="0">
      <alignment horizontal="center" vertical="bottom"/>
    </xf>
    <xf numFmtId="0" fontId="10" fillId="17" borderId="3" applyAlignment="1" pivotButton="0" quotePrefix="0" xfId="0">
      <alignment horizontal="center" vertical="center" wrapText="1"/>
    </xf>
    <xf numFmtId="1" fontId="11" fillId="3" borderId="3" applyAlignment="1" pivotButton="0" quotePrefix="0" xfId="20">
      <alignment horizontal="right" vertical="center"/>
    </xf>
    <xf numFmtId="0" fontId="5" fillId="18" borderId="3" applyAlignment="1" pivotButton="0" quotePrefix="0" xfId="0">
      <alignment horizontal="general" vertical="bottom" wrapText="1"/>
    </xf>
    <xf numFmtId="1" fontId="5" fillId="18" borderId="4" applyAlignment="1" pivotButton="0" quotePrefix="0" xfId="0">
      <alignment horizontal="right" vertical="center"/>
    </xf>
    <xf numFmtId="0" fontId="5" fillId="18" borderId="3" applyAlignment="1" pivotButton="0" quotePrefix="0" xfId="0">
      <alignment horizontal="right" vertical="center" wrapText="1"/>
    </xf>
    <xf numFmtId="0" fontId="6" fillId="14" borderId="3" applyAlignment="1" pivotButton="0" quotePrefix="0" xfId="0">
      <alignment horizontal="general" vertical="bottom"/>
    </xf>
    <xf numFmtId="1" fontId="5" fillId="3" borderId="3" applyAlignment="1" pivotButton="0" quotePrefix="0" xfId="0">
      <alignment horizontal="right" vertical="center"/>
    </xf>
    <xf numFmtId="0" fontId="11" fillId="18" borderId="3" applyAlignment="1" pivotButton="0" quotePrefix="0" xfId="20">
      <alignment horizontal="general" vertical="bottom"/>
    </xf>
    <xf numFmtId="1" fontId="11" fillId="18" borderId="3" applyAlignment="1" pivotButton="0" quotePrefix="0" xfId="20">
      <alignment horizontal="right" vertical="center"/>
    </xf>
    <xf numFmtId="0" fontId="5" fillId="3" borderId="3" applyAlignment="1" pivotButton="0" quotePrefix="0" xfId="0">
      <alignment horizontal="right" vertical="center"/>
    </xf>
    <xf numFmtId="1" fontId="5" fillId="18" borderId="3" applyAlignment="1" pivotButton="0" quotePrefix="0" xfId="0">
      <alignment horizontal="right" vertical="center" wrapText="1"/>
    </xf>
    <xf numFmtId="0" fontId="5" fillId="18" borderId="4" applyAlignment="1" pivotButton="0" quotePrefix="0" xfId="0">
      <alignment horizontal="general" vertical="bottom"/>
    </xf>
    <xf numFmtId="0" fontId="5" fillId="18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 wrapText="1"/>
    </xf>
    <xf numFmtId="0" fontId="5" fillId="18" borderId="3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/>
    </xf>
    <xf numFmtId="1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19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right" vertical="center" wrapText="1"/>
    </xf>
    <xf numFmtId="0" fontId="12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right" vertical="bottom"/>
    </xf>
    <xf numFmtId="0" fontId="12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0" fontId="13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2" fillId="0" borderId="4" applyAlignment="1" pivotButton="0" quotePrefix="0" xfId="0">
      <alignment horizontal="right" vertical="bottom"/>
    </xf>
    <xf numFmtId="0" fontId="0" fillId="0" borderId="5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justify" vertical="center"/>
    </xf>
    <xf numFmtId="0" fontId="0" fillId="0" borderId="11" applyAlignment="1" pivotButton="0" quotePrefix="0" xfId="0">
      <alignment horizontal="general" vertical="bottom"/>
    </xf>
    <xf numFmtId="0" fontId="0" fillId="0" borderId="12" applyAlignment="1" pivotButton="0" quotePrefix="0" xfId="0">
      <alignment horizontal="right" vertical="bottom"/>
    </xf>
    <xf numFmtId="0" fontId="0" fillId="0" borderId="4" applyAlignment="1" pivotButton="0" quotePrefix="0" xfId="0">
      <alignment horizontal="right" vertical="bottom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ootnote 1" xfId="6"/>
    <cellStyle name="Note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1493"/>
      <rgbColor rgb="FF00FA9A"/>
      <rgbColor rgb="FF800000"/>
      <rgbColor rgb="FF008000"/>
      <rgbColor rgb="FF000080"/>
      <rgbColor rgb="FF808000"/>
      <rgbColor rgb="FF800080"/>
      <rgbColor rgb="FF008080"/>
      <rgbColor rgb="FF90EE90"/>
      <rgbColor rgb="FF808080"/>
      <rgbColor rgb="FF9999FF"/>
      <rgbColor rgb="FF993366"/>
      <rgbColor rgb="FFFFFFCC"/>
      <rgbColor rgb="FFE0FFFF"/>
      <rgbColor rgb="FF660066"/>
      <rgbColor rgb="FFFF69B4"/>
      <rgbColor rgb="FF0066CC"/>
      <rgbColor rgb="FF98FB9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D1"/>
      <rgbColor rgb="FFF0FFF0"/>
      <rgbColor rgb="FFF5FFFA"/>
      <rgbColor rgb="FFFFE4E1"/>
      <rgbColor rgb="FF66CDAA"/>
      <rgbColor rgb="FFFF99CC"/>
      <rgbColor rgb="FFCC99FF"/>
      <rgbColor rgb="FFFFE4C4"/>
      <rgbColor rgb="FF3366FF"/>
      <rgbColor rgb="FF48D1CC"/>
      <rgbColor rgb="FF7CFC00"/>
      <rgbColor rgb="FFFFD700"/>
      <rgbColor rgb="FFDAA520"/>
      <rgbColor rgb="FFFF6600"/>
      <rgbColor rgb="FF666699"/>
      <rgbColor rgb="FF969696"/>
      <rgbColor rgb="FF003366"/>
      <rgbColor rgb="FF3CB371"/>
      <rgbColor rgb="FF003300"/>
      <rgbColor rgb="FF333300"/>
      <rgbColor rgb="FFA52A2A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3CB371"/>
    <outlinePr summaryBelow="1" summaryRight="1"/>
    <pageSetUpPr fitToPage="0"/>
  </sheetPr>
  <dimension ref="A1:Z87"/>
  <sheetViews>
    <sheetView showFormulas="0" showGridLines="1" showRowColHeaders="1" showZeros="1" rightToLeft="0" tabSelected="0" showOutlineSymbols="1" defaultGridColor="1" view="normal" topLeftCell="G22" colorId="64" zoomScale="113" zoomScaleNormal="113" zoomScalePageLayoutView="100" workbookViewId="0">
      <selection pane="topLeft" activeCell="B33" activeCellId="0" sqref="B33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6"/>
    <col width="10.16" customWidth="1" style="128" min="7" max="10"/>
    <col width="12.9" customWidth="1" style="128" min="11" max="11"/>
    <col width="10.16" customWidth="1" style="128" min="12" max="14"/>
    <col width="1.26" customWidth="1" style="129" min="15" max="15"/>
    <col width="4.79" customWidth="1" style="128" min="16" max="16"/>
    <col width="5.43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4.59" customWidth="1" style="128" min="24" max="25"/>
    <col width="10.16" customWidth="1" style="128" min="26" max="27"/>
  </cols>
  <sheetData>
    <row r="1" ht="12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2.8" customHeight="1" s="130">
      <c r="A2" s="131" t="n">
        <v>5500</v>
      </c>
      <c r="B2" s="131" t="n">
        <v>2800</v>
      </c>
      <c r="D2" s="132" t="inlineStr">
        <is>
          <t>TERMINACION</t>
        </is>
      </c>
      <c r="E2" s="133" t="n">
        <v>1300</v>
      </c>
      <c r="F2" s="133" t="n">
        <v>1400</v>
      </c>
      <c r="G2" s="133" t="n">
        <v>3</v>
      </c>
      <c r="H2" s="133" t="n">
        <v>1</v>
      </c>
      <c r="I2" s="133" t="n">
        <v>1</v>
      </c>
      <c r="J2" s="133" t="n">
        <v>1</v>
      </c>
      <c r="K2" s="133" t="inlineStr">
        <is>
          <t>LOMO</t>
        </is>
      </c>
      <c r="L2" s="133" t="n">
        <v>400</v>
      </c>
      <c r="M2" s="133" t="n">
        <v>500</v>
      </c>
      <c r="N2" s="133" t="n">
        <v>24</v>
      </c>
    </row>
    <row r="3" ht="22.15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2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2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6" t="n"/>
      <c r="B7" s="136" t="n"/>
      <c r="C7" s="137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Dimensión Malla (m)</t>
        </is>
      </c>
      <c r="J7" s="138" t="inlineStr">
        <is>
          <t>Ancho Malla (m)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40" t="n"/>
      <c r="C8" s="141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45" t="n"/>
      <c r="C9" s="14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43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28" t="n"/>
    </row>
    <row r="10" ht="13.8" customHeight="1" s="130">
      <c r="A10" s="139" t="n"/>
      <c r="B10" s="145" t="n"/>
      <c r="C10" s="146" t="n"/>
      <c r="D10" s="143" t="n"/>
      <c r="E10" s="143" t="n">
        <v>5</v>
      </c>
      <c r="F10" s="143" t="n"/>
      <c r="G10" s="143" t="n">
        <v>1</v>
      </c>
      <c r="H10" s="143" t="n">
        <v>0.6</v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49" t="n"/>
      <c r="Y10" s="149" t="n"/>
      <c r="Z10" s="139" t="n"/>
    </row>
    <row r="11" ht="13.8" customHeight="1" s="130">
      <c r="A11" s="139" t="n"/>
      <c r="B11" s="151" t="n"/>
      <c r="C11" s="152" t="n"/>
      <c r="D11" s="153" t="n"/>
      <c r="E11" s="153" t="n"/>
      <c r="P11" s="154" t="inlineStr">
        <is>
          <t>C</t>
        </is>
      </c>
      <c r="Q11" s="154" t="inlineStr">
        <is>
          <t>C</t>
        </is>
      </c>
      <c r="R11" s="155" t="inlineStr">
        <is>
          <t>C</t>
        </is>
      </c>
      <c r="S11" s="155" t="inlineStr">
        <is>
          <t>C</t>
        </is>
      </c>
      <c r="T11" s="155" t="inlineStr">
        <is>
          <t>C</t>
        </is>
      </c>
      <c r="U11" s="155" t="inlineStr">
        <is>
          <t>C</t>
        </is>
      </c>
      <c r="V11" s="155" t="inlineStr">
        <is>
          <t>C</t>
        </is>
      </c>
      <c r="W11" s="155" t="inlineStr">
        <is>
          <t>C</t>
        </is>
      </c>
      <c r="X11" s="154" t="inlineStr">
        <is>
          <t>C</t>
        </is>
      </c>
      <c r="Y11" s="154" t="inlineStr">
        <is>
          <t>C</t>
        </is>
      </c>
      <c r="Z11" s="139" t="n"/>
    </row>
    <row r="12" ht="12.8" customHeight="1" s="130">
      <c r="A12" s="156" t="inlineStr">
        <is>
          <t>JESUS</t>
        </is>
      </c>
      <c r="B12" s="157" t="n"/>
      <c r="C12" s="158" t="n"/>
      <c r="D12" s="159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54" t="inlineStr">
        <is>
          <t>C</t>
        </is>
      </c>
      <c r="Q12" s="154" t="inlineStr">
        <is>
          <t>C</t>
        </is>
      </c>
      <c r="R12" s="155" t="inlineStr">
        <is>
          <t>C</t>
        </is>
      </c>
      <c r="S12" s="155" t="inlineStr">
        <is>
          <t>C</t>
        </is>
      </c>
      <c r="T12" s="155" t="inlineStr">
        <is>
          <t>C</t>
        </is>
      </c>
      <c r="U12" s="155" t="inlineStr">
        <is>
          <t>C</t>
        </is>
      </c>
      <c r="V12" s="155" t="inlineStr">
        <is>
          <t>C</t>
        </is>
      </c>
      <c r="W12" s="155" t="inlineStr">
        <is>
          <t>C</t>
        </is>
      </c>
      <c r="X12" s="154" t="inlineStr">
        <is>
          <t>C</t>
        </is>
      </c>
      <c r="Y12" s="154" t="inlineStr">
        <is>
          <t>C</t>
        </is>
      </c>
      <c r="Z12" s="139" t="n"/>
    </row>
    <row r="13" ht="12.8" customHeight="1" s="130">
      <c r="A13" s="160" t="inlineStr">
        <is>
          <t>SUPERFICIE DE LA CAMA</t>
        </is>
      </c>
      <c r="B13" s="161">
        <f>($A$2*$B$2/1000000) &amp; "m²"</f>
        <v/>
      </c>
      <c r="C13" s="162" t="n"/>
      <c r="D13" s="163" t="inlineStr">
        <is>
          <t>PRIMERA HILADA O ANILLO</t>
        </is>
      </c>
      <c r="E13" s="164">
        <f>_xlfn.IFS(  $D$2="terminacion", ROUNDUP(($A$2/$M$3*2)+($B$2/$M$2*2),0) &amp; " Terminación",  $D$2="lomo", ROUNDUP(($A$2/$M$3*2)+($B$2/$M$2*2)+4,0) &amp; " Lomo Ballena" )</f>
        <v/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54" t="inlineStr">
        <is>
          <t>C</t>
        </is>
      </c>
      <c r="Q13" s="154" t="inlineStr">
        <is>
          <t>C</t>
        </is>
      </c>
      <c r="R13" s="155" t="inlineStr">
        <is>
          <t>C</t>
        </is>
      </c>
      <c r="S13" s="155" t="inlineStr">
        <is>
          <t>C</t>
        </is>
      </c>
      <c r="T13" s="155" t="inlineStr">
        <is>
          <t>C</t>
        </is>
      </c>
      <c r="U13" s="155" t="inlineStr">
        <is>
          <t>C</t>
        </is>
      </c>
      <c r="V13" s="155" t="inlineStr">
        <is>
          <t>C</t>
        </is>
      </c>
      <c r="W13" s="155" t="inlineStr">
        <is>
          <t>C</t>
        </is>
      </c>
      <c r="X13" s="154" t="inlineStr">
        <is>
          <t>C</t>
        </is>
      </c>
      <c r="Y13" s="154" t="inlineStr">
        <is>
          <t>C</t>
        </is>
      </c>
      <c r="Z13" s="139" t="n"/>
    </row>
    <row r="14" ht="14.9" customHeight="1" s="130">
      <c r="A14" s="160" t="inlineStr">
        <is>
          <t>VOLUMEN DE LA CAMA M3</t>
        </is>
      </c>
      <c r="B14" s="161">
        <f>ROUNDUP((($A$2+1000)*($B$2+1000))/1000000,0) * ($E$9/1000) &amp; "m³"</f>
        <v/>
      </c>
      <c r="C14" s="162" t="n"/>
      <c r="D14" s="163" t="inlineStr">
        <is>
          <t>ESQUINEROS</t>
        </is>
      </c>
      <c r="E14" s="166">
        <f>IF($D$2="LOMO",COUNTIF(grilla,"E"),"-")</f>
        <v/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(M6/1000)^2)</f>
        <v/>
      </c>
      <c r="P14" s="154" t="inlineStr">
        <is>
          <t>C</t>
        </is>
      </c>
      <c r="Q14" s="168" t="inlineStr">
        <is>
          <t>C</t>
        </is>
      </c>
      <c r="R14" s="155" t="inlineStr">
        <is>
          <t>T</t>
        </is>
      </c>
      <c r="S14" s="155" t="inlineStr">
        <is>
          <t>T</t>
        </is>
      </c>
      <c r="T14" s="155" t="inlineStr">
        <is>
          <t>T</t>
        </is>
      </c>
      <c r="U14" s="155" t="inlineStr">
        <is>
          <t>T</t>
        </is>
      </c>
      <c r="V14" s="155" t="inlineStr">
        <is>
          <t>T</t>
        </is>
      </c>
      <c r="W14" s="155" t="inlineStr">
        <is>
          <t>T</t>
        </is>
      </c>
      <c r="X14" s="168" t="inlineStr">
        <is>
          <t>C</t>
        </is>
      </c>
      <c r="Y14" s="154" t="inlineStr">
        <is>
          <t>C</t>
        </is>
      </c>
      <c r="Z14" s="139" t="n"/>
    </row>
    <row r="15" ht="14.9" customHeight="1" s="130">
      <c r="A15" s="169" t="inlineStr">
        <is>
          <t>ARENA M3</t>
        </is>
      </c>
      <c r="B15" s="170">
        <f>ROUNDUP(($A$2+1000)*($B$2+1000),0)/1000000*($E$9/1000)*$G$9</f>
        <v/>
      </c>
      <c r="C15" s="171" t="n"/>
      <c r="D15" s="163" t="inlineStr">
        <is>
          <t>LOSETAS COMUNES</t>
        </is>
      </c>
      <c r="E15" s="166">
        <f>COUNTIF(grilla,"C")</f>
        <v/>
      </c>
      <c r="G15" s="128" t="inlineStr">
        <is>
          <t>rejillas</t>
        </is>
      </c>
      <c r="H15" s="128">
        <f>IF(COUNTIF(grilla,"R")=0,"-",COUNTIF(grilla,"R"))</f>
        <v/>
      </c>
      <c r="I15" s="165" t="n">
        <v>0.1</v>
      </c>
      <c r="J15" s="167">
        <f>COUNTIF(grilla,"R")*0.1</f>
        <v/>
      </c>
      <c r="P15" s="155" t="inlineStr">
        <is>
          <t>C</t>
        </is>
      </c>
      <c r="Q15" s="155" t="inlineStr">
        <is>
          <t>t</t>
        </is>
      </c>
      <c r="R15" s="172" t="n"/>
      <c r="S15" s="172" t="n"/>
      <c r="T15" s="172" t="n"/>
      <c r="U15" s="172" t="n"/>
      <c r="V15" s="172" t="n"/>
      <c r="W15" s="172" t="n"/>
      <c r="X15" s="155" t="inlineStr">
        <is>
          <t>T</t>
        </is>
      </c>
      <c r="Y15" s="155" t="inlineStr">
        <is>
          <t>C</t>
        </is>
      </c>
      <c r="Z15" s="139" t="n"/>
    </row>
    <row r="16" ht="13.8" customHeight="1" s="130">
      <c r="A16" s="169" t="inlineStr">
        <is>
          <t>MIXTO M3</t>
        </is>
      </c>
      <c r="B16" s="173">
        <f>((($A$2+1000)*($B$2+1000))/1000000) * ($E$9/1000) * $H$9</f>
        <v/>
      </c>
      <c r="C16" s="174" t="n"/>
      <c r="D16" s="175" t="inlineStr">
        <is>
          <t xml:space="preserve">M2 DE VEREDA COMPLETA </t>
        </is>
      </c>
      <c r="E16" s="176">
        <f>$J$18</f>
        <v/>
      </c>
      <c r="G16" s="128" t="inlineStr">
        <is>
          <t>terminacion</t>
        </is>
      </c>
      <c r="H16" s="128">
        <f>IF(COUNTIF(grilla,"T")=0,"-",COUNTIF(grilla,"t"))</f>
        <v/>
      </c>
      <c r="I16" s="165" t="n">
        <v>0.24</v>
      </c>
      <c r="J16" s="167">
        <f>COUNTIF(grilla,"T")*0.24</f>
        <v/>
      </c>
      <c r="P16" s="155" t="inlineStr">
        <is>
          <t>C</t>
        </is>
      </c>
      <c r="Q16" s="155" t="inlineStr">
        <is>
          <t>T</t>
        </is>
      </c>
      <c r="R16" s="172" t="n"/>
      <c r="S16" s="172" t="n"/>
      <c r="T16" s="172" t="n"/>
      <c r="U16" s="172" t="n"/>
      <c r="V16" s="172" t="n"/>
      <c r="W16" s="172" t="n"/>
      <c r="X16" s="155" t="inlineStr">
        <is>
          <t>T</t>
        </is>
      </c>
      <c r="Y16" s="155" t="inlineStr">
        <is>
          <t>C</t>
        </is>
      </c>
      <c r="Z16" s="139" t="n"/>
    </row>
    <row r="17" ht="13.8" customHeight="1" s="130">
      <c r="A17" s="169" t="inlineStr">
        <is>
          <t>MALLA</t>
        </is>
      </c>
      <c r="B17" s="173">
        <f>ROUNDUP(   ( (($A$2+1000)*($B$2+1000) - $A$2*$B$2) / 1000000 )   / ( IF($I$8&gt;50, $I$8/1000, $I$8) * IF($J$8&gt;50, $J$8/1000, $J$8) ) , 0)</f>
        <v/>
      </c>
      <c r="C17" s="174" t="n"/>
      <c r="D17" s="175" t="inlineStr">
        <is>
          <t>M3 CONTRAPISO VEREDA</t>
        </is>
      </c>
      <c r="E17" s="176">
        <f>ROUNDUP($E$16*($E$8/1000),0)</f>
        <v/>
      </c>
      <c r="G17" s="128" t="inlineStr">
        <is>
          <t>lomo ballena</t>
        </is>
      </c>
      <c r="H17" s="128">
        <f>IF(COUNTIF(P9:Y28,"L")=0,"-",COUNTIF(9:Y28,"L"))</f>
        <v/>
      </c>
      <c r="I17" s="165" t="n">
        <v>0.2</v>
      </c>
      <c r="J17" s="167">
        <f>COUNTIF(grilla,"L")*0.2</f>
        <v/>
      </c>
      <c r="P17" s="155" t="inlineStr">
        <is>
          <t>C</t>
        </is>
      </c>
      <c r="Q17" s="155" t="inlineStr">
        <is>
          <t>T</t>
        </is>
      </c>
      <c r="R17" s="172" t="n"/>
      <c r="S17" s="172" t="n"/>
      <c r="T17" s="172" t="n"/>
      <c r="U17" s="172" t="n"/>
      <c r="V17" s="172" t="n"/>
      <c r="W17" s="172" t="n"/>
      <c r="X17" s="155" t="inlineStr">
        <is>
          <t>T</t>
        </is>
      </c>
      <c r="Y17" s="155" t="inlineStr">
        <is>
          <t>C</t>
        </is>
      </c>
      <c r="Z17" s="139" t="n"/>
    </row>
    <row r="18" ht="28.35" customHeight="1" s="130">
      <c r="A18" s="169" t="inlineStr">
        <is>
          <t>ARENA PARA TAPADO M3</t>
        </is>
      </c>
      <c r="B18" s="173">
        <f>((($A$2+2*$F$2)/1000)*(($B$2+2*$F$2)/1000)*($E$9/1000) - ($A$2/1000)*($B$2/1000)*($E$9/1000))</f>
        <v/>
      </c>
      <c r="C18" s="174" t="n"/>
      <c r="D18" s="163" t="inlineStr">
        <is>
          <t>BOLSAS DE CEMENTO</t>
        </is>
      </c>
      <c r="E18" s="166">
        <f>ROUNDUP($E$16*($E$8/1000)*$F$8,0)</f>
        <v/>
      </c>
      <c r="G18" s="128" t="inlineStr">
        <is>
          <t>TOTAL</t>
        </is>
      </c>
      <c r="J18" s="128">
        <f>SUM($J$13:$J$17)</f>
        <v/>
      </c>
      <c r="P18" s="155" t="inlineStr">
        <is>
          <t>C</t>
        </is>
      </c>
      <c r="Q18" s="155" t="inlineStr">
        <is>
          <t>T</t>
        </is>
      </c>
      <c r="R18" s="172" t="n"/>
      <c r="S18" s="172" t="n"/>
      <c r="T18" s="172" t="n"/>
      <c r="U18" s="172" t="n"/>
      <c r="V18" s="172" t="n"/>
      <c r="W18" s="172" t="n"/>
      <c r="X18" s="155" t="inlineStr">
        <is>
          <t>T</t>
        </is>
      </c>
      <c r="Y18" s="155" t="inlineStr">
        <is>
          <t>C</t>
        </is>
      </c>
      <c r="Z18" s="139" t="n"/>
    </row>
    <row r="19" ht="14.9" customHeight="1" s="130">
      <c r="A19" s="169" t="inlineStr">
        <is>
          <t>CEMENTO</t>
        </is>
      </c>
      <c r="B19" s="177" t="n">
        <v>8</v>
      </c>
      <c r="C19" s="178" t="n"/>
      <c r="D19" s="163" t="inlineStr">
        <is>
          <t>ARENA M3</t>
        </is>
      </c>
      <c r="E19" s="179">
        <f>ROUNDUP($E$16*($E$8/1000),0)</f>
        <v/>
      </c>
      <c r="H19" s="139" t="n"/>
      <c r="I19" s="139" t="n"/>
      <c r="J19" s="139" t="n"/>
      <c r="P19" s="155" t="inlineStr">
        <is>
          <t>C</t>
        </is>
      </c>
      <c r="Q19" s="155" t="inlineStr">
        <is>
          <t>T</t>
        </is>
      </c>
      <c r="R19" s="172" t="n"/>
      <c r="S19" s="172" t="n"/>
      <c r="T19" s="172" t="n"/>
      <c r="U19" s="172" t="n"/>
      <c r="V19" s="172" t="n"/>
      <c r="W19" s="172" t="n"/>
      <c r="X19" s="155" t="inlineStr">
        <is>
          <t>T</t>
        </is>
      </c>
      <c r="Y19" s="155" t="inlineStr">
        <is>
          <t>C</t>
        </is>
      </c>
      <c r="Z19" s="139" t="n"/>
    </row>
    <row r="20" ht="12.8" customHeight="1" s="130">
      <c r="A20" s="169" t="inlineStr">
        <is>
          <t>TEE</t>
        </is>
      </c>
      <c r="B20" s="177" t="n">
        <v>10</v>
      </c>
      <c r="C20" s="178" t="n"/>
      <c r="D20" s="163" t="inlineStr">
        <is>
          <t>PIEDRA</t>
        </is>
      </c>
      <c r="E20" s="179">
        <f>(( ($A$2+($I$2+$J$2)*500+2*$D$8)*($B$2+($G$2+$H$2)*500+2*$D$8) -$A$2*$B$2 ) / 1000000) * ($E$8/1000) * $H$10</f>
        <v/>
      </c>
      <c r="P20" s="155" t="inlineStr">
        <is>
          <t>C</t>
        </is>
      </c>
      <c r="Q20" s="155" t="inlineStr">
        <is>
          <t>T</t>
        </is>
      </c>
      <c r="R20" s="172" t="n"/>
      <c r="S20" s="172" t="n"/>
      <c r="T20" s="172" t="n"/>
      <c r="U20" s="172" t="n"/>
      <c r="V20" s="172" t="n"/>
      <c r="W20" s="172" t="n"/>
      <c r="X20" s="155" t="inlineStr">
        <is>
          <t>T</t>
        </is>
      </c>
      <c r="Y20" s="155" t="inlineStr">
        <is>
          <t>C</t>
        </is>
      </c>
      <c r="Z20" s="139" t="n"/>
    </row>
    <row r="21" ht="12.8" customHeight="1" s="130">
      <c r="A21" s="169" t="inlineStr">
        <is>
          <t>CODO 90º</t>
        </is>
      </c>
      <c r="B21" s="177" t="n">
        <v>50</v>
      </c>
      <c r="C21" s="178" t="n"/>
      <c r="D21" s="163" t="inlineStr">
        <is>
          <t>MALLA</t>
        </is>
      </c>
      <c r="E21" s="166">
        <f>ROUNDUP(  $E$16 /   ( IF($I$8&gt;50,$I$8/1000,$I$8) *     IF($J$8&gt;50,$J$8/1000,$J$8) ) ,0)</f>
        <v/>
      </c>
      <c r="P21" s="155" t="inlineStr">
        <is>
          <t>C</t>
        </is>
      </c>
      <c r="Q21" s="155" t="inlineStr">
        <is>
          <t>T</t>
        </is>
      </c>
      <c r="R21" s="172" t="n"/>
      <c r="S21" s="172" t="n"/>
      <c r="T21" s="172" t="n"/>
      <c r="U21" s="172" t="n"/>
      <c r="V21" s="172" t="n"/>
      <c r="W21" s="172" t="n"/>
      <c r="X21" s="155" t="inlineStr">
        <is>
          <t>T</t>
        </is>
      </c>
      <c r="Y21" s="155" t="inlineStr">
        <is>
          <t>C</t>
        </is>
      </c>
      <c r="Z21" s="139" t="n"/>
    </row>
    <row r="22" ht="12.8" customHeight="1" s="130">
      <c r="A22" s="169" t="inlineStr">
        <is>
          <t>CODO 45º</t>
        </is>
      </c>
      <c r="B22" s="177" t="n">
        <v>40</v>
      </c>
      <c r="C22" s="178" t="n"/>
      <c r="D22" s="163" t="inlineStr">
        <is>
          <t>ALAMBRE #14 x KG</t>
        </is>
      </c>
      <c r="E22" s="166" t="n">
        <v>1</v>
      </c>
      <c r="P22" s="155" t="inlineStr">
        <is>
          <t>C</t>
        </is>
      </c>
      <c r="Q22" s="155" t="inlineStr">
        <is>
          <t>T</t>
        </is>
      </c>
      <c r="R22" s="172" t="n"/>
      <c r="S22" s="172" t="n"/>
      <c r="T22" s="172" t="n"/>
      <c r="U22" s="172" t="n"/>
      <c r="V22" s="172" t="n"/>
      <c r="W22" s="172" t="n"/>
      <c r="X22" s="155" t="inlineStr">
        <is>
          <t>T</t>
        </is>
      </c>
      <c r="Y22" s="155" t="inlineStr">
        <is>
          <t>C</t>
        </is>
      </c>
      <c r="Z22" s="139" t="n"/>
    </row>
    <row r="23" ht="12.8" customHeight="1" s="130">
      <c r="A23" s="169" t="inlineStr">
        <is>
          <t>UNION SIMPLE</t>
        </is>
      </c>
      <c r="B23" s="177" t="n">
        <v>8</v>
      </c>
      <c r="C23" s="178" t="n"/>
      <c r="D23" s="163" t="inlineStr">
        <is>
          <t>CLAVOS 2,5 PULGADAS KG</t>
        </is>
      </c>
      <c r="E23" s="166" t="n">
        <v>1</v>
      </c>
      <c r="P23" s="155" t="inlineStr">
        <is>
          <t>C</t>
        </is>
      </c>
      <c r="Q23" s="155" t="inlineStr">
        <is>
          <t>T</t>
        </is>
      </c>
      <c r="R23" s="172" t="n"/>
      <c r="S23" s="172" t="n"/>
      <c r="T23" s="172" t="n"/>
      <c r="U23" s="172" t="n"/>
      <c r="V23" s="172" t="n"/>
      <c r="W23" s="172" t="n"/>
      <c r="X23" s="155" t="inlineStr">
        <is>
          <t>T</t>
        </is>
      </c>
      <c r="Y23" s="155" t="inlineStr">
        <is>
          <t>C</t>
        </is>
      </c>
      <c r="Z23" s="139" t="n"/>
    </row>
    <row r="24" ht="12.8" customHeight="1" s="130">
      <c r="A24" s="169" t="inlineStr">
        <is>
          <t xml:space="preserve">UNION DOBLE </t>
        </is>
      </c>
      <c r="B24" s="177" t="n">
        <v>6</v>
      </c>
      <c r="C24" s="178" t="n"/>
      <c r="D24" s="180" t="inlineStr">
        <is>
          <t>BOLSAS DE KLAUKOL</t>
        </is>
      </c>
      <c r="E24" s="181">
        <f>ROUNDUP( $E$16 * ($E$10* 0.09) / 30 , 0 )</f>
        <v/>
      </c>
      <c r="P24" s="155" t="inlineStr">
        <is>
          <t>C</t>
        </is>
      </c>
      <c r="Q24" s="155" t="inlineStr">
        <is>
          <t>T</t>
        </is>
      </c>
      <c r="R24" s="182" t="n"/>
      <c r="S24" s="172" t="n"/>
      <c r="T24" s="172" t="n"/>
      <c r="U24" s="172" t="n"/>
      <c r="V24" s="172" t="n"/>
      <c r="W24" s="172" t="n"/>
      <c r="X24" s="155" t="inlineStr">
        <is>
          <t>T</t>
        </is>
      </c>
      <c r="Y24" s="155" t="inlineStr">
        <is>
          <t>C</t>
        </is>
      </c>
      <c r="Z24" s="139" t="n"/>
    </row>
    <row r="25" ht="13.8" customHeight="1" s="130">
      <c r="A25" s="169" t="inlineStr">
        <is>
          <t>LLAVE ESFERICA</t>
        </is>
      </c>
      <c r="B25" s="177" t="n">
        <v>6</v>
      </c>
      <c r="C25" s="178" t="n"/>
      <c r="D25" s="163" t="n"/>
      <c r="E25" s="166" t="n"/>
      <c r="P25" s="155" t="inlineStr">
        <is>
          <t>C</t>
        </is>
      </c>
      <c r="Q25" s="155" t="inlineStr">
        <is>
          <t>T</t>
        </is>
      </c>
      <c r="R25" s="182" t="n"/>
      <c r="S25" s="172" t="n"/>
      <c r="T25" s="172" t="n"/>
      <c r="U25" s="172" t="n"/>
      <c r="V25" s="172" t="n"/>
      <c r="W25" s="172" t="n"/>
      <c r="X25" s="155" t="inlineStr">
        <is>
          <t>T</t>
        </is>
      </c>
      <c r="Y25" s="155" t="inlineStr">
        <is>
          <t>C</t>
        </is>
      </c>
      <c r="Z25" s="139" t="n"/>
    </row>
    <row r="26" ht="28.35" customHeight="1" s="130">
      <c r="A26" s="169" t="inlineStr">
        <is>
          <t>CAÑO 40MM</t>
        </is>
      </c>
      <c r="B26" s="177" t="n">
        <v>14</v>
      </c>
      <c r="C26" s="178" t="n"/>
      <c r="D26" s="163" t="inlineStr">
        <is>
          <t>m² de primer anillo perimetral</t>
        </is>
      </c>
      <c r="E26" s="179">
        <f>( ($A$2/1000 + 2*IF($D$2="LOMO",0.4,0.48)) *    ($B$2/1000 + 2*IF($D$2="LOMO",0.4,0.48))    - ($A$2/1000)*($B$2/1000) )  - IF($D$2="LOMO", 4*POWER($M$5/1000,2), 0)</f>
        <v/>
      </c>
      <c r="J26" s="139" t="n"/>
      <c r="K26" s="139" t="n"/>
      <c r="L26" s="139" t="n"/>
      <c r="M26" s="139" t="n"/>
      <c r="P26" s="154" t="inlineStr">
        <is>
          <t>C</t>
        </is>
      </c>
      <c r="Q26" s="168" t="inlineStr">
        <is>
          <t>C</t>
        </is>
      </c>
      <c r="R26" s="155" t="inlineStr">
        <is>
          <t>t</t>
        </is>
      </c>
      <c r="S26" s="155" t="inlineStr">
        <is>
          <t>T</t>
        </is>
      </c>
      <c r="T26" s="155" t="inlineStr">
        <is>
          <t>t</t>
        </is>
      </c>
      <c r="U26" s="155" t="inlineStr">
        <is>
          <t>t</t>
        </is>
      </c>
      <c r="V26" s="155" t="inlineStr">
        <is>
          <t>t</t>
        </is>
      </c>
      <c r="W26" s="155" t="inlineStr">
        <is>
          <t>t</t>
        </is>
      </c>
      <c r="X26" s="168" t="inlineStr">
        <is>
          <t>C</t>
        </is>
      </c>
      <c r="Y26" s="154" t="inlineStr">
        <is>
          <t>C</t>
        </is>
      </c>
      <c r="Z26" s="139" t="n"/>
    </row>
    <row r="27" ht="34.35" customHeight="1" s="130">
      <c r="A27" s="169" t="inlineStr">
        <is>
          <t>PEGAMENTO x 1kg</t>
        </is>
      </c>
      <c r="B27" s="177" t="n">
        <v>2</v>
      </c>
      <c r="C27" s="178" t="n"/>
      <c r="D27" s="163" t="inlineStr">
        <is>
          <t>MANO DE OBRA CHINO (BASE)</t>
        </is>
      </c>
      <c r="E27" s="183">
        <f>$K$8*$E$26</f>
        <v/>
      </c>
      <c r="F27" s="139" t="n"/>
      <c r="J27" s="139" t="n"/>
      <c r="K27" s="139" t="n"/>
      <c r="L27" s="139" t="n"/>
      <c r="M27" s="139" t="n"/>
      <c r="P27" s="154" t="inlineStr">
        <is>
          <t>C</t>
        </is>
      </c>
      <c r="Q27" s="154" t="inlineStr">
        <is>
          <t>C</t>
        </is>
      </c>
      <c r="R27" s="155" t="inlineStr">
        <is>
          <t>C</t>
        </is>
      </c>
      <c r="S27" s="155" t="inlineStr">
        <is>
          <t>C</t>
        </is>
      </c>
      <c r="T27" s="155" t="inlineStr">
        <is>
          <t>C</t>
        </is>
      </c>
      <c r="U27" s="155" t="inlineStr">
        <is>
          <t>C</t>
        </is>
      </c>
      <c r="V27" s="155" t="inlineStr">
        <is>
          <t>C</t>
        </is>
      </c>
      <c r="W27" s="155" t="inlineStr">
        <is>
          <t>C</t>
        </is>
      </c>
      <c r="X27" s="154" t="inlineStr">
        <is>
          <t>C</t>
        </is>
      </c>
      <c r="Y27" s="154" t="inlineStr">
        <is>
          <t>C</t>
        </is>
      </c>
      <c r="Z27" s="139" t="n"/>
    </row>
    <row r="28" ht="12.8" customHeight="1" s="130">
      <c r="A28" s="169" t="inlineStr">
        <is>
          <t>GEOTEXTIL O GEOMEMBRANA 400MICRONES X METRO</t>
        </is>
      </c>
      <c r="B28" s="177" t="n">
        <v>8</v>
      </c>
      <c r="C28" s="178" t="n"/>
      <c r="D28" s="184" t="inlineStr">
        <is>
          <t>MANO DE OBRA CHINO (EXTRA)</t>
        </is>
      </c>
      <c r="E28" s="185">
        <f>$K$9-$E$27</f>
        <v/>
      </c>
      <c r="F28" s="139" t="n"/>
      <c r="H28" s="139" t="n"/>
      <c r="I28" s="139" t="n"/>
      <c r="J28" s="139" t="n"/>
      <c r="K28" s="139" t="n"/>
      <c r="L28" s="139" t="n"/>
      <c r="M28" s="139" t="n"/>
      <c r="P28" s="154" t="n"/>
      <c r="Q28" s="154" t="n"/>
      <c r="R28" s="155" t="n"/>
      <c r="S28" s="155" t="n"/>
      <c r="T28" s="155" t="n"/>
      <c r="U28" s="155" t="n"/>
      <c r="V28" s="155" t="n"/>
      <c r="W28" s="155" t="n"/>
      <c r="X28" s="154" t="n"/>
      <c r="Y28" s="154" t="n"/>
      <c r="Z28" s="139" t="n"/>
    </row>
    <row r="29" ht="12.8" customHeight="1" s="130">
      <c r="A29" s="169" t="inlineStr">
        <is>
          <t>CAÑO AZUL 25MM X METRO</t>
        </is>
      </c>
      <c r="B29" s="177" t="n">
        <v>30</v>
      </c>
      <c r="C29" s="178" t="n"/>
      <c r="D29" s="139" t="n"/>
      <c r="F29" s="139" t="n"/>
      <c r="H29" s="139" t="n"/>
      <c r="I29" s="139" t="n"/>
      <c r="J29" s="139" t="n"/>
      <c r="K29" s="139" t="n"/>
      <c r="L29" s="139" t="n"/>
      <c r="M29" s="139" t="n"/>
      <c r="P29" s="154" t="n"/>
      <c r="Q29" s="154" t="n"/>
      <c r="R29" s="155" t="n"/>
      <c r="S29" s="155" t="n"/>
      <c r="T29" s="155" t="n"/>
      <c r="U29" s="155" t="n"/>
      <c r="V29" s="155" t="n"/>
      <c r="W29" s="155" t="n"/>
      <c r="X29" s="154" t="n"/>
      <c r="Y29" s="154" t="n"/>
      <c r="Z29" s="139" t="n"/>
    </row>
    <row r="30" ht="12.8" customHeight="1" s="130">
      <c r="A30" s="169" t="inlineStr">
        <is>
          <t>CONECTORES PARA CORRUGADO DE 25MM</t>
        </is>
      </c>
      <c r="B30" s="177" t="n">
        <v>20</v>
      </c>
      <c r="C30" s="178" t="n"/>
      <c r="D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P30" s="154" t="n"/>
      <c r="Q30" s="154" t="n"/>
      <c r="R30" s="155" t="n"/>
      <c r="S30" s="155" t="n"/>
      <c r="T30" s="155" t="n"/>
      <c r="U30" s="155" t="n"/>
      <c r="V30" s="155" t="n"/>
      <c r="W30" s="155" t="n"/>
      <c r="X30" s="154" t="n"/>
      <c r="Y30" s="154" t="n"/>
      <c r="Z30" s="139" t="n"/>
    </row>
    <row r="31" ht="12.8" customHeight="1" s="130">
      <c r="D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O31" s="186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</row>
    <row r="32" ht="12.8" customHeight="1" s="130">
      <c r="D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O32" s="186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</row>
    <row r="33" ht="12.8" customHeight="1" s="130">
      <c r="A33" s="126">
        <f>_xlfn.CONCAT("Total arena"," ", D12," ,",A12)</f>
        <v/>
      </c>
      <c r="B33" s="187">
        <f>ROUNDUP(   IFERROR(VALUE(_xlfn.ORG.LIBREOFFICE.REGEX($B$15,"[^0-9,.-]","","g")),0)  +IFERROR(VALUE(_xlfn.ORG.LIBREOFFICE.REGEX($B$18,"[^0-9,.-]","","g")),0)  +IFERROR(VALUE(_xlfn.ORG.LIBREOFFICE.REGEX($D$19,"[^0-9,.-]","","g")),0) ,0) &amp; " m³"</f>
        <v/>
      </c>
      <c r="C33" s="188" t="n"/>
      <c r="D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</row>
    <row r="34" ht="12.8" customHeight="1" s="130">
      <c r="A34" s="126" t="inlineStr">
        <is>
          <t>MIXTO M3</t>
        </is>
      </c>
      <c r="B34" s="189">
        <f>_xlfn.CONCAT(ROUNDUP($B$16+$E$26,0) &amp;" m³")</f>
        <v/>
      </c>
      <c r="C34" s="190" t="n"/>
      <c r="D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86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</row>
    <row r="35" ht="12.8" customHeight="1" s="130">
      <c r="A35" s="126" t="n"/>
      <c r="B35" s="191" t="n"/>
      <c r="C35" s="192" t="n"/>
      <c r="D35" s="145" t="n"/>
      <c r="E35" s="145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26" t="n"/>
      <c r="B36" s="191" t="n"/>
      <c r="C36" s="192" t="n"/>
      <c r="D36" s="145" t="n"/>
      <c r="E36" s="145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26" t="n"/>
      <c r="B37" s="191" t="n"/>
      <c r="C37" s="192" t="n"/>
      <c r="D37" s="145" t="n"/>
      <c r="E37" s="145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26" t="n"/>
      <c r="B38" s="191" t="n"/>
      <c r="C38" s="192" t="n"/>
      <c r="D38" s="126" t="n"/>
      <c r="E38" s="126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26" t="n"/>
      <c r="B39" s="191" t="n"/>
      <c r="C39" s="192" t="n"/>
      <c r="D39" s="145" t="n"/>
      <c r="E39" s="145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26" t="n"/>
      <c r="B40" s="191" t="n"/>
      <c r="C40" s="192" t="n"/>
      <c r="D40" s="145" t="n"/>
      <c r="E40" s="193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26" t="n"/>
      <c r="B41" s="191" t="n"/>
      <c r="C41" s="192" t="n"/>
      <c r="D41" s="145" t="n"/>
      <c r="E41" s="194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26" t="n"/>
      <c r="B42" s="191" t="n"/>
      <c r="C42" s="192" t="n"/>
      <c r="D42" s="126" t="n"/>
      <c r="E42" s="195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26" t="n"/>
      <c r="B43" s="191" t="n"/>
      <c r="C43" s="192" t="n"/>
      <c r="D43" s="139" t="n"/>
      <c r="E43" s="128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26" t="n"/>
      <c r="B44" s="191" t="n"/>
      <c r="C44" s="192" t="n"/>
      <c r="D44" s="139" t="n"/>
      <c r="E44" s="128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26" t="n"/>
      <c r="B45" s="126" t="n"/>
      <c r="C45" s="127" t="n"/>
      <c r="D45" s="128" t="n"/>
      <c r="E45" s="128" t="n"/>
      <c r="F45" s="128" t="n"/>
      <c r="J45" s="139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26" t="n"/>
      <c r="B46" s="126" t="n"/>
      <c r="C46" s="127" t="n"/>
      <c r="D46" s="128" t="n"/>
      <c r="E46" s="128" t="n"/>
      <c r="F46" s="128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26" t="n"/>
      <c r="B47" s="140" t="n"/>
      <c r="C47" s="141" t="n"/>
      <c r="D47" s="128" t="n"/>
      <c r="E47" s="128" t="n"/>
      <c r="F47" s="128" t="n"/>
      <c r="G47" s="128" t="inlineStr">
        <is>
          <t>-f</t>
        </is>
      </c>
      <c r="K47" s="139" t="n"/>
      <c r="L47" s="139" t="n"/>
      <c r="M47" s="139" t="n"/>
      <c r="N47" s="139" t="n"/>
    </row>
    <row r="48" ht="12.8" customHeight="1" s="130">
      <c r="A48" s="126" t="n"/>
      <c r="B48" s="126" t="n"/>
      <c r="C48" s="127" t="n"/>
      <c r="D48" s="128" t="n"/>
      <c r="E48" s="128" t="n"/>
      <c r="F48" s="128" t="n"/>
      <c r="H48" s="128" t="inlineStr">
        <is>
          <t>.</t>
        </is>
      </c>
      <c r="K48" s="139" t="n"/>
      <c r="L48" s="139" t="n"/>
      <c r="M48" s="139" t="n"/>
      <c r="N48" s="139" t="n"/>
    </row>
    <row r="49" ht="12.8" customHeight="1" s="130">
      <c r="A49" s="126" t="n"/>
      <c r="B49" s="126" t="n"/>
      <c r="C49" s="127" t="n"/>
      <c r="D49" s="128" t="n"/>
      <c r="E49" s="128" t="n"/>
      <c r="F49" s="128" t="n"/>
      <c r="K49" s="139" t="n"/>
      <c r="L49" s="139" t="n"/>
      <c r="M49" s="139" t="n"/>
      <c r="N49" s="139" t="n"/>
    </row>
    <row r="87" ht="12.8" customHeight="1" s="130">
      <c r="B87" s="126" t="inlineStr">
        <is>
          <t>y</t>
        </is>
      </c>
    </row>
  </sheetData>
  <mergeCells count="2">
    <mergeCell ref="D12:E12"/>
    <mergeCell ref="A12:B12"/>
  </mergeCells>
  <dataValidations count="1">
    <dataValidation sqref="D2 K2" showDropDown="0" showInputMessage="0" showErrorMessage="1" allowBlank="1" errorStyle="stop" operator="equal">
      <formula1>0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&amp;C&amp;"Arial,Regular"&amp;10 &amp;Kffffff&amp;A</oddHeader>
    <oddFooter>&amp;C&amp;"Arial,Regular"&amp;10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A1:AA55"/>
  <sheetViews>
    <sheetView showFormulas="0" showGridLines="1" showRowColHeaders="1" showZeros="1" rightToLeft="0" tabSelected="0" showOutlineSymbols="1" defaultGridColor="1" view="normal" topLeftCell="A1" colorId="64" zoomScale="113" zoomScaleNormal="113" zoomScalePageLayoutView="100" workbookViewId="0">
      <selection pane="topLeft" activeCell="A8" activeCellId="0" sqref="A8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5"/>
    <col width="10.16" customWidth="1" style="128" min="6" max="10"/>
    <col width="12.9" customWidth="1" style="128" min="11" max="11"/>
    <col width="10.16" customWidth="1" style="128" min="12" max="14"/>
    <col width="1.26" customWidth="1" style="129" min="15" max="15"/>
    <col width="9.470000000000001" customWidth="1" style="128" min="16" max="16"/>
    <col width="7.21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5.5" customWidth="1" style="128" min="24" max="24"/>
    <col width="4.59" customWidth="1" style="128" min="25" max="25"/>
    <col width="10.16" customWidth="1" style="128" min="26" max="27"/>
    <col width="10.16" customWidth="1" style="128" min="29" max="16384"/>
  </cols>
  <sheetData>
    <row r="1" ht="13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3.8" customHeight="1" s="130">
      <c r="A2" s="131" t="n">
        <v>7300</v>
      </c>
      <c r="B2" s="131" t="n">
        <v>3500</v>
      </c>
      <c r="D2" s="132" t="inlineStr">
        <is>
          <t>terminacion</t>
        </is>
      </c>
      <c r="E2" s="133" t="n">
        <v>1300</v>
      </c>
      <c r="F2" s="133" t="n">
        <v>1400</v>
      </c>
      <c r="G2" s="133" t="n">
        <v>4</v>
      </c>
      <c r="H2" s="133" t="n">
        <v>4</v>
      </c>
      <c r="I2" s="133" t="n">
        <v>1</v>
      </c>
      <c r="J2" s="133" t="n">
        <v>1</v>
      </c>
      <c r="K2" s="133" t="inlineStr">
        <is>
          <t>LOMO</t>
        </is>
      </c>
      <c r="L2" s="133" t="n">
        <v>400</v>
      </c>
      <c r="M2" s="133" t="n">
        <v>500</v>
      </c>
      <c r="N2" s="133" t="n">
        <v>24</v>
      </c>
    </row>
    <row r="3" ht="22.15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3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3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9" t="n"/>
      <c r="B7" s="139" t="n"/>
      <c r="C7" s="196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Largo Malla (mm)</t>
        </is>
      </c>
      <c r="J7" s="138" t="inlineStr">
        <is>
          <t>Ancho Malla (mm)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39" t="n"/>
      <c r="C8" s="196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39" t="n"/>
      <c r="C9" s="19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97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98" t="n"/>
    </row>
    <row r="10" ht="13.8" customHeight="1" s="130">
      <c r="A10" s="139" t="n"/>
      <c r="B10" s="139" t="n"/>
      <c r="C10" s="196" t="n"/>
      <c r="D10" s="143" t="n"/>
      <c r="E10" s="143" t="n">
        <v>50</v>
      </c>
      <c r="F10" s="143" t="n"/>
      <c r="G10" s="143" t="n">
        <v>1</v>
      </c>
      <c r="H10" s="143">
        <f>0.6</f>
        <v/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50" t="n"/>
      <c r="Y10" s="149" t="n"/>
      <c r="Z10" s="149" t="n"/>
    </row>
    <row r="11" ht="13.8" customHeight="1" s="130">
      <c r="A11" s="139" t="n"/>
      <c r="B11" s="139" t="n"/>
      <c r="C11" s="196" t="n"/>
      <c r="D11" s="153" t="n"/>
      <c r="E11" s="153" t="n"/>
      <c r="P11" s="149" t="inlineStr">
        <is>
          <t>C</t>
        </is>
      </c>
      <c r="Q11" s="149" t="inlineStr">
        <is>
          <t>C</t>
        </is>
      </c>
      <c r="R11" s="150" t="inlineStr">
        <is>
          <t>C</t>
        </is>
      </c>
      <c r="S11" s="150" t="inlineStr">
        <is>
          <t>C</t>
        </is>
      </c>
      <c r="T11" s="150" t="inlineStr">
        <is>
          <t>C</t>
        </is>
      </c>
      <c r="U11" s="150" t="inlineStr">
        <is>
          <t>C</t>
        </is>
      </c>
      <c r="V11" s="150" t="inlineStr">
        <is>
          <t>C</t>
        </is>
      </c>
      <c r="W11" s="150" t="inlineStr">
        <is>
          <t>C</t>
        </is>
      </c>
      <c r="X11" s="150" t="inlineStr">
        <is>
          <t>C</t>
        </is>
      </c>
      <c r="Y11" s="149" t="inlineStr">
        <is>
          <t>C</t>
        </is>
      </c>
      <c r="Z11" s="149" t="inlineStr">
        <is>
          <t>C</t>
        </is>
      </c>
      <c r="AA11" s="128" t="inlineStr">
        <is>
          <t>R</t>
        </is>
      </c>
    </row>
    <row r="12" ht="12.8" customHeight="1" s="130">
      <c r="A12" s="199" t="inlineStr">
        <is>
          <t>JESUS</t>
        </is>
      </c>
      <c r="B12" s="157" t="n"/>
      <c r="C12" s="158" t="n"/>
      <c r="D12" s="200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49" t="inlineStr">
        <is>
          <t>C</t>
        </is>
      </c>
      <c r="Q12" s="149" t="inlineStr">
        <is>
          <t>C</t>
        </is>
      </c>
      <c r="R12" s="150" t="inlineStr">
        <is>
          <t>C</t>
        </is>
      </c>
      <c r="S12" s="150" t="inlineStr">
        <is>
          <t>C</t>
        </is>
      </c>
      <c r="T12" s="150" t="inlineStr">
        <is>
          <t>C</t>
        </is>
      </c>
      <c r="U12" s="150" t="inlineStr">
        <is>
          <t>C</t>
        </is>
      </c>
      <c r="V12" s="150" t="inlineStr">
        <is>
          <t>C</t>
        </is>
      </c>
      <c r="W12" s="150" t="inlineStr">
        <is>
          <t>C</t>
        </is>
      </c>
      <c r="X12" s="150" t="inlineStr">
        <is>
          <t>C</t>
        </is>
      </c>
      <c r="Y12" s="149" t="inlineStr">
        <is>
          <t>C</t>
        </is>
      </c>
      <c r="Z12" s="149" t="inlineStr">
        <is>
          <t>C</t>
        </is>
      </c>
      <c r="AA12" s="128" t="inlineStr">
        <is>
          <t>R</t>
        </is>
      </c>
    </row>
    <row r="13" ht="12.8" customHeight="1" s="130">
      <c r="A13" s="160" t="inlineStr">
        <is>
          <t>SUPERFICIE DE LA CAMA</t>
        </is>
      </c>
      <c r="B13" s="161">
        <f>($A$2*$B$2/1000000) &amp; "m2"</f>
        <v/>
      </c>
      <c r="C13" s="201" t="n"/>
      <c r="D13" s="202" t="inlineStr">
        <is>
          <t>PRIMERA HILADA O ANILLO</t>
        </is>
      </c>
      <c r="E13" s="203">
        <f>_xlfn.IFS(  $D$2="terminacion", ROUNDUP(($A$2/$M$3*2)+($B$2/$M$2*2),0) &amp; " Terminación",  $D$2="lomo", ROUNDUP(($A$2/$M$3*2)+($B$2/$M$2*2)+4,0) &amp; " Lomo Ballena" )</f>
        <v/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49" t="inlineStr">
        <is>
          <t>C</t>
        </is>
      </c>
      <c r="Q13" s="149" t="inlineStr">
        <is>
          <t>C</t>
        </is>
      </c>
      <c r="R13" s="150" t="inlineStr">
        <is>
          <t>C</t>
        </is>
      </c>
      <c r="S13" s="150" t="inlineStr">
        <is>
          <t>C</t>
        </is>
      </c>
      <c r="T13" s="150" t="inlineStr">
        <is>
          <t>C</t>
        </is>
      </c>
      <c r="U13" s="150" t="inlineStr">
        <is>
          <t>C</t>
        </is>
      </c>
      <c r="V13" s="150" t="inlineStr">
        <is>
          <t>C</t>
        </is>
      </c>
      <c r="W13" s="150" t="inlineStr">
        <is>
          <t>C</t>
        </is>
      </c>
      <c r="X13" s="150" t="inlineStr">
        <is>
          <t>C</t>
        </is>
      </c>
      <c r="Y13" s="149" t="inlineStr">
        <is>
          <t>C</t>
        </is>
      </c>
      <c r="Z13" s="149" t="inlineStr">
        <is>
          <t>C</t>
        </is>
      </c>
      <c r="AA13" s="128" t="inlineStr">
        <is>
          <t>R</t>
        </is>
      </c>
    </row>
    <row r="14" ht="14.9" customHeight="1" s="130">
      <c r="A14" s="160" t="inlineStr">
        <is>
          <t>VOLUMEN DE LA CAMA M3</t>
        </is>
      </c>
      <c r="B14" s="161">
        <f>ROUNDUP((($A$2+1000)*($B$2+1000))/1000000,0) * ($E$9/1000)</f>
        <v/>
      </c>
      <c r="C14" s="201" t="n"/>
      <c r="D14" s="202" t="inlineStr">
        <is>
          <t>ESQUINEROS</t>
        </is>
      </c>
      <c r="E14" s="204">
        <f>IF($D$2="LOMO",COUNTIF(grilla,"E"),"-")</f>
        <v/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($M$6/1000)^2)</f>
        <v/>
      </c>
      <c r="P14" s="149" t="inlineStr">
        <is>
          <t>C</t>
        </is>
      </c>
      <c r="Q14" s="205" t="inlineStr">
        <is>
          <t>c</t>
        </is>
      </c>
      <c r="R14" s="150" t="inlineStr">
        <is>
          <t>t</t>
        </is>
      </c>
      <c r="S14" s="150" t="inlineStr">
        <is>
          <t>t</t>
        </is>
      </c>
      <c r="T14" s="150" t="inlineStr">
        <is>
          <t>t</t>
        </is>
      </c>
      <c r="U14" s="150" t="inlineStr">
        <is>
          <t>T</t>
        </is>
      </c>
      <c r="V14" s="150" t="inlineStr">
        <is>
          <t>T</t>
        </is>
      </c>
      <c r="W14" s="150" t="inlineStr">
        <is>
          <t>T</t>
        </is>
      </c>
      <c r="X14" s="150" t="inlineStr">
        <is>
          <t>T</t>
        </is>
      </c>
      <c r="Y14" s="205" t="inlineStr">
        <is>
          <t>C</t>
        </is>
      </c>
      <c r="Z14" s="149" t="inlineStr">
        <is>
          <t>C</t>
        </is>
      </c>
      <c r="AA14" s="128" t="inlineStr">
        <is>
          <t>R</t>
        </is>
      </c>
    </row>
    <row r="15" ht="14.9" customHeight="1" s="130">
      <c r="A15" s="169" t="inlineStr">
        <is>
          <t>ARENA M3</t>
        </is>
      </c>
      <c r="B15" s="173">
        <f>((($A$2+1000)*($B$2+1000))/1000000) * ($E$9/1000) * $G$9</f>
        <v/>
      </c>
      <c r="C15" s="206" t="n"/>
      <c r="D15" s="202" t="inlineStr">
        <is>
          <t>LOSETAS COMUNES</t>
        </is>
      </c>
      <c r="E15" s="204">
        <f>COUNTIF(grilla,"C")</f>
        <v/>
      </c>
      <c r="G15" s="128" t="inlineStr">
        <is>
          <t>rejillas</t>
        </is>
      </c>
      <c r="H15" s="128">
        <f>IF(COUNTIF(grilla,"R")=0,"-",COUNTIF(grilla,"R"))</f>
        <v/>
      </c>
      <c r="I15" s="165" t="n">
        <v>0.1</v>
      </c>
      <c r="J15" s="167">
        <f>COUNTIF(grilla,"R")*0.1</f>
        <v/>
      </c>
      <c r="K15" s="139" t="n"/>
      <c r="P15" s="150" t="inlineStr">
        <is>
          <t>C</t>
        </is>
      </c>
      <c r="Q15" s="150" t="inlineStr">
        <is>
          <t>t</t>
        </is>
      </c>
      <c r="Y15" s="150" t="inlineStr">
        <is>
          <t>T</t>
        </is>
      </c>
      <c r="Z15" s="150" t="inlineStr">
        <is>
          <t>C</t>
        </is>
      </c>
      <c r="AA15" s="128" t="inlineStr">
        <is>
          <t>R</t>
        </is>
      </c>
    </row>
    <row r="16" ht="13.8" customHeight="1" s="130">
      <c r="A16" s="169" t="inlineStr">
        <is>
          <t>MIXTO M3</t>
        </is>
      </c>
      <c r="B16" s="173">
        <f>((($A$2+1000)*($B$2+1000))/1000000) * ($E$9/1000) * $H$9</f>
        <v/>
      </c>
      <c r="C16" s="206" t="n"/>
      <c r="D16" s="207" t="inlineStr">
        <is>
          <t xml:space="preserve">M2 DE VEREDA COMPLETA </t>
        </is>
      </c>
      <c r="E16" s="208">
        <f>$J$18</f>
        <v/>
      </c>
      <c r="G16" s="128" t="inlineStr">
        <is>
          <t>terminacion</t>
        </is>
      </c>
      <c r="H16" s="128">
        <f>COUNTIF(grilla,"T")</f>
        <v/>
      </c>
      <c r="I16" s="165" t="n">
        <v>0.24</v>
      </c>
      <c r="J16" s="167">
        <f>COUNTIF(grilla,"T")*0.24</f>
        <v/>
      </c>
      <c r="K16" s="139" t="n"/>
      <c r="P16" s="150" t="inlineStr">
        <is>
          <t>C</t>
        </is>
      </c>
      <c r="Q16" s="150" t="inlineStr">
        <is>
          <t>T</t>
        </is>
      </c>
      <c r="Y16" s="150" t="inlineStr">
        <is>
          <t>T</t>
        </is>
      </c>
      <c r="Z16" s="150" t="inlineStr">
        <is>
          <t>C</t>
        </is>
      </c>
      <c r="AA16" s="128" t="inlineStr">
        <is>
          <t>R</t>
        </is>
      </c>
    </row>
    <row r="17" ht="13.8" customHeight="1" s="130">
      <c r="A17" s="169" t="inlineStr">
        <is>
          <t>MALLA</t>
        </is>
      </c>
      <c r="B17" s="173">
        <f>ROUNDUP(   ( (($A$2+1000)*($B$2+1000) - $A$2*$B$2) / 1000000 )   / ( IF($I$8&gt;50, $I$8/1000, $I$8) * IF($J$8&gt;50, $J$8/1000, $J$8) ) , 0)</f>
        <v/>
      </c>
      <c r="C17" s="206" t="n"/>
      <c r="D17" s="207" t="inlineStr">
        <is>
          <t>M3 CONTRAPISO VEREDA</t>
        </is>
      </c>
      <c r="E17" s="208">
        <f>ROUNDUP($E$16*($E$8/1000),0)</f>
        <v/>
      </c>
      <c r="G17" s="128" t="inlineStr">
        <is>
          <t>lomo ballena</t>
        </is>
      </c>
      <c r="H17" s="128">
        <f>IF(COUNTIF(grilla,"L")=0,"-",COUNTIF(grilla,"L"))</f>
        <v/>
      </c>
      <c r="I17" s="165" t="n">
        <v>0.2</v>
      </c>
      <c r="J17" s="167">
        <f>COUNTIF(grilla,"L")*0.2</f>
        <v/>
      </c>
      <c r="K17" s="139" t="n"/>
      <c r="P17" s="150" t="inlineStr">
        <is>
          <t>C</t>
        </is>
      </c>
      <c r="Q17" s="150" t="inlineStr">
        <is>
          <t>T</t>
        </is>
      </c>
      <c r="Y17" s="150" t="inlineStr">
        <is>
          <t>T</t>
        </is>
      </c>
      <c r="Z17" s="150" t="inlineStr">
        <is>
          <t>C</t>
        </is>
      </c>
      <c r="AA17" s="128" t="inlineStr">
        <is>
          <t>R</t>
        </is>
      </c>
    </row>
    <row r="18" ht="28.35" customHeight="1" s="130">
      <c r="A18" s="169" t="inlineStr">
        <is>
          <t>ARENA PARA TAPADO M3</t>
        </is>
      </c>
      <c r="B18" s="173">
        <f>((($A$2+2*$F$2)/1000)*(($B$2+2*$F$2)/1000)*($E$9/1000) - ($A$2/1000)*($B$2/1000)*($E$9/1000))</f>
        <v/>
      </c>
      <c r="C18" s="206" t="n"/>
      <c r="D18" s="202" t="inlineStr">
        <is>
          <t>BOLSAS DE CEMENTO</t>
        </is>
      </c>
      <c r="E18" s="204">
        <f>ROUNDUP($E$16*($E$8/1000)*$F$8,0)</f>
        <v/>
      </c>
      <c r="G18" s="128" t="inlineStr">
        <is>
          <t>TOTAL</t>
        </is>
      </c>
      <c r="J18" s="128">
        <f>SUM($J$13:$J$17)</f>
        <v/>
      </c>
      <c r="K18" s="139" t="n"/>
      <c r="P18" s="150" t="inlineStr">
        <is>
          <t>C</t>
        </is>
      </c>
      <c r="Q18" s="150" t="inlineStr">
        <is>
          <t>T</t>
        </is>
      </c>
      <c r="Y18" s="150" t="inlineStr">
        <is>
          <t>T</t>
        </is>
      </c>
      <c r="Z18" s="150" t="inlineStr">
        <is>
          <t>C</t>
        </is>
      </c>
      <c r="AA18" s="128" t="inlineStr">
        <is>
          <t>R</t>
        </is>
      </c>
    </row>
    <row r="19" ht="14.9" customHeight="1" s="130">
      <c r="A19" s="169" t="inlineStr">
        <is>
          <t>CEMENTO</t>
        </is>
      </c>
      <c r="B19" s="177" t="n">
        <v>8</v>
      </c>
      <c r="C19" s="209" t="n"/>
      <c r="D19" s="202" t="inlineStr">
        <is>
          <t>ARENA M3</t>
        </is>
      </c>
      <c r="E19" s="210">
        <f>ROUNDUP($E$16*($E$8/1000),0)</f>
        <v/>
      </c>
      <c r="J19" s="139" t="n"/>
      <c r="K19" s="139" t="n"/>
      <c r="P19" s="150" t="inlineStr">
        <is>
          <t>C</t>
        </is>
      </c>
      <c r="Q19" s="150" t="inlineStr">
        <is>
          <t>T</t>
        </is>
      </c>
      <c r="Y19" s="150" t="inlineStr">
        <is>
          <t>T</t>
        </is>
      </c>
      <c r="Z19" s="150" t="inlineStr">
        <is>
          <t>C</t>
        </is>
      </c>
      <c r="AA19" s="128" t="inlineStr">
        <is>
          <t>R</t>
        </is>
      </c>
    </row>
    <row r="20" ht="12.8" customHeight="1" s="130">
      <c r="A20" s="169" t="inlineStr">
        <is>
          <t>TEE</t>
        </is>
      </c>
      <c r="B20" s="177" t="n">
        <v>10</v>
      </c>
      <c r="C20" s="209" t="n"/>
      <c r="D20" s="202" t="inlineStr">
        <is>
          <t>PIEDRA</t>
        </is>
      </c>
      <c r="E20" s="210">
        <f>(( ($A$2+($I$2+$J$2)*500+2*$D$8)*($B$2+($G$2+$H$2)*500+2*$D$8) -$A$2*$B$2 ) / 1000000) * ($E$8/1000) * $H$10</f>
        <v/>
      </c>
      <c r="J20" s="139" t="n"/>
      <c r="K20" s="139" t="n"/>
      <c r="P20" s="150" t="inlineStr">
        <is>
          <t>C</t>
        </is>
      </c>
      <c r="Q20" s="150" t="inlineStr">
        <is>
          <t>T</t>
        </is>
      </c>
      <c r="Y20" s="150" t="inlineStr">
        <is>
          <t>T</t>
        </is>
      </c>
      <c r="Z20" s="150" t="inlineStr">
        <is>
          <t>C</t>
        </is>
      </c>
      <c r="AA20" s="128" t="inlineStr">
        <is>
          <t>R</t>
        </is>
      </c>
    </row>
    <row r="21" ht="12.8" customHeight="1" s="130">
      <c r="A21" s="169" t="inlineStr">
        <is>
          <t>CODO 90º</t>
        </is>
      </c>
      <c r="B21" s="177" t="n">
        <v>50</v>
      </c>
      <c r="C21" s="209" t="n"/>
      <c r="D21" s="202" t="inlineStr">
        <is>
          <t>MALLA</t>
        </is>
      </c>
      <c r="E21" s="204">
        <f>ROUNDUP(  $E$16 /   ( IF($I$8&gt;50,$I$8/1000,$I$8) *     IF($J$8&gt;50,$J$8/1000,$J$8) ) ,0)</f>
        <v/>
      </c>
      <c r="J21" s="139" t="n"/>
      <c r="K21" s="139" t="n"/>
      <c r="P21" s="150" t="inlineStr">
        <is>
          <t>C</t>
        </is>
      </c>
      <c r="Q21" s="150" t="inlineStr">
        <is>
          <t>T</t>
        </is>
      </c>
      <c r="Y21" s="150" t="inlineStr">
        <is>
          <t>T</t>
        </is>
      </c>
      <c r="Z21" s="150" t="inlineStr">
        <is>
          <t>C</t>
        </is>
      </c>
      <c r="AA21" s="128" t="inlineStr">
        <is>
          <t>R</t>
        </is>
      </c>
    </row>
    <row r="22" ht="12.8" customHeight="1" s="130">
      <c r="A22" s="169" t="inlineStr">
        <is>
          <t>CODO 45º</t>
        </is>
      </c>
      <c r="B22" s="177" t="n">
        <v>40</v>
      </c>
      <c r="C22" s="209" t="n"/>
      <c r="D22" s="202" t="inlineStr">
        <is>
          <t>ALAMBRE #14 x KG</t>
        </is>
      </c>
      <c r="E22" s="204" t="n">
        <v>1</v>
      </c>
      <c r="J22" s="139" t="n"/>
      <c r="K22" s="139" t="n"/>
      <c r="P22" s="150" t="inlineStr">
        <is>
          <t>C</t>
        </is>
      </c>
      <c r="Q22" s="150" t="inlineStr">
        <is>
          <t>T</t>
        </is>
      </c>
      <c r="Y22" s="150" t="inlineStr">
        <is>
          <t>T</t>
        </is>
      </c>
      <c r="Z22" s="150" t="inlineStr">
        <is>
          <t>C</t>
        </is>
      </c>
      <c r="AA22" s="128" t="inlineStr">
        <is>
          <t>R</t>
        </is>
      </c>
    </row>
    <row r="23" ht="12.8" customHeight="1" s="130">
      <c r="A23" s="169" t="inlineStr">
        <is>
          <t>UNION SIMPLE</t>
        </is>
      </c>
      <c r="B23" s="177" t="n">
        <v>8</v>
      </c>
      <c r="C23" s="209" t="n"/>
      <c r="D23" s="202" t="inlineStr">
        <is>
          <t>CLAVOS 2,5 PULGADAS KG</t>
        </is>
      </c>
      <c r="E23" s="204" t="n">
        <v>1</v>
      </c>
      <c r="J23" s="139" t="n"/>
      <c r="K23" s="139" t="n"/>
      <c r="P23" s="150" t="inlineStr">
        <is>
          <t>C</t>
        </is>
      </c>
      <c r="Q23" s="150" t="inlineStr">
        <is>
          <t>T</t>
        </is>
      </c>
      <c r="Y23" s="150" t="inlineStr">
        <is>
          <t>T</t>
        </is>
      </c>
      <c r="Z23" s="150" t="inlineStr">
        <is>
          <t>C</t>
        </is>
      </c>
      <c r="AA23" s="128" t="inlineStr">
        <is>
          <t>R</t>
        </is>
      </c>
    </row>
    <row r="24" ht="12.8" customHeight="1" s="130">
      <c r="A24" s="169" t="inlineStr">
        <is>
          <t xml:space="preserve">UNION DOBLE </t>
        </is>
      </c>
      <c r="B24" s="177" t="n">
        <v>6</v>
      </c>
      <c r="C24" s="209" t="n"/>
      <c r="D24" s="211" t="inlineStr">
        <is>
          <t>BOLSAS DE KLAUKOL</t>
        </is>
      </c>
      <c r="E24" s="212">
        <f>ROUNDUP( $E$16 * ($E$10* 0.09) / 30 , 0 )</f>
        <v/>
      </c>
      <c r="J24" s="139" t="n"/>
      <c r="K24" s="139" t="n"/>
      <c r="P24" s="150" t="inlineStr">
        <is>
          <t>C</t>
        </is>
      </c>
      <c r="Q24" s="150" t="inlineStr">
        <is>
          <t>T</t>
        </is>
      </c>
      <c r="R24" s="213" t="n"/>
      <c r="S24" s="128" t="n"/>
      <c r="T24" s="128" t="n"/>
      <c r="U24" s="128" t="n"/>
      <c r="V24" s="128" t="n"/>
      <c r="W24" s="128" t="n"/>
      <c r="X24" s="214" t="n"/>
      <c r="Y24" s="150" t="inlineStr">
        <is>
          <t>T</t>
        </is>
      </c>
      <c r="Z24" s="150" t="inlineStr">
        <is>
          <t>C</t>
        </is>
      </c>
      <c r="AA24" s="128" t="inlineStr">
        <is>
          <t>R</t>
        </is>
      </c>
    </row>
    <row r="25" ht="12.8" customHeight="1" s="130">
      <c r="A25" s="169" t="inlineStr">
        <is>
          <t>LLAVE ESFERICA</t>
        </is>
      </c>
      <c r="B25" s="177" t="n">
        <v>6</v>
      </c>
      <c r="C25" s="209" t="n"/>
      <c r="D25" s="202" t="n"/>
      <c r="E25" s="204" t="n"/>
      <c r="J25" s="139" t="n"/>
      <c r="K25" s="139" t="n"/>
      <c r="P25" s="150" t="inlineStr">
        <is>
          <t>C</t>
        </is>
      </c>
      <c r="Q25" s="150" t="inlineStr">
        <is>
          <t>T</t>
        </is>
      </c>
      <c r="R25" s="213" t="n"/>
      <c r="S25" s="128" t="n"/>
      <c r="T25" s="128" t="n"/>
      <c r="U25" s="128" t="n"/>
      <c r="V25" s="128" t="n"/>
      <c r="W25" s="128" t="n"/>
      <c r="X25" s="214" t="n"/>
      <c r="Y25" s="150" t="inlineStr">
        <is>
          <t>T</t>
        </is>
      </c>
      <c r="Z25" s="150" t="inlineStr">
        <is>
          <t>C</t>
        </is>
      </c>
      <c r="AA25" s="128" t="inlineStr">
        <is>
          <t>R</t>
        </is>
      </c>
    </row>
    <row r="26" ht="9.300000000000001" customHeight="1" s="130">
      <c r="A26" s="169" t="inlineStr">
        <is>
          <t>CAÑO 40MM</t>
        </is>
      </c>
      <c r="B26" s="177" t="n">
        <v>14</v>
      </c>
      <c r="C26" s="209" t="n"/>
      <c r="D26" s="202" t="inlineStr">
        <is>
          <t>m² de primer anillo perimetral</t>
        </is>
      </c>
      <c r="E26" s="210">
        <f>( ($A$2/1000 + 2*IF($D$2="LOMO",0.4,0.48)) *    ($B$2/1000 + 2*IF($D$2="LOMO",0.4,0.48))    - ($A$2/1000)*($B$2/1000) )  - IF($D$2="LOMO", 4*POWER($M$5/1000,2), 0)</f>
        <v/>
      </c>
      <c r="J26" s="139" t="n"/>
      <c r="K26" s="139" t="n"/>
      <c r="L26" s="139" t="n"/>
      <c r="P26" s="150" t="inlineStr">
        <is>
          <t>C</t>
        </is>
      </c>
      <c r="Q26" s="150" t="inlineStr">
        <is>
          <t>T</t>
        </is>
      </c>
      <c r="R26" s="139" t="n"/>
      <c r="S26" s="139" t="n"/>
      <c r="T26" s="139" t="n"/>
      <c r="U26" s="139" t="n"/>
      <c r="V26" s="139" t="n"/>
      <c r="W26" s="139" t="n"/>
      <c r="X26" s="139" t="n"/>
      <c r="Y26" s="150" t="inlineStr">
        <is>
          <t>T</t>
        </is>
      </c>
      <c r="Z26" s="150" t="inlineStr">
        <is>
          <t>C</t>
        </is>
      </c>
      <c r="AA26" s="128" t="inlineStr">
        <is>
          <t>R</t>
        </is>
      </c>
    </row>
    <row r="27" ht="16.9" customHeight="1" s="130">
      <c r="A27" s="169" t="inlineStr">
        <is>
          <t>PEGAMENTO x 1kg</t>
        </is>
      </c>
      <c r="B27" s="177" t="n">
        <v>2</v>
      </c>
      <c r="C27" s="209" t="n"/>
      <c r="D27" s="202" t="inlineStr">
        <is>
          <t>MANO DE OBRA CHINO (BASE)</t>
        </is>
      </c>
      <c r="E27" s="215">
        <f>$K$8*$E$26</f>
        <v/>
      </c>
      <c r="J27" s="139" t="n"/>
      <c r="K27" s="139" t="n"/>
      <c r="L27" s="139" t="n"/>
      <c r="P27" s="150" t="inlineStr">
        <is>
          <t>C</t>
        </is>
      </c>
      <c r="Q27" s="150" t="inlineStr">
        <is>
          <t>T</t>
        </is>
      </c>
      <c r="R27" s="139" t="n"/>
      <c r="S27" s="139" t="n"/>
      <c r="T27" s="139" t="n"/>
      <c r="U27" s="139" t="n"/>
      <c r="V27" s="139" t="n"/>
      <c r="W27" s="139" t="n"/>
      <c r="X27" s="139" t="n"/>
      <c r="Y27" s="150" t="inlineStr">
        <is>
          <t>T</t>
        </is>
      </c>
      <c r="Z27" s="150" t="inlineStr">
        <is>
          <t>C</t>
        </is>
      </c>
      <c r="AA27" s="128" t="inlineStr">
        <is>
          <t>R</t>
        </is>
      </c>
    </row>
    <row r="28" ht="12.8" customHeight="1" s="130">
      <c r="A28" s="169" t="inlineStr">
        <is>
          <t>GEOTEXTIL O GEOMEMBRANA 400MICRONES X METRO</t>
        </is>
      </c>
      <c r="B28" s="177" t="n">
        <v>8</v>
      </c>
      <c r="C28" s="209" t="n"/>
      <c r="D28" s="216" t="inlineStr">
        <is>
          <t>MANO DE OBRA CHINO (EXTRA)</t>
        </is>
      </c>
      <c r="E28" s="217">
        <f>$K$9-$E$27</f>
        <v/>
      </c>
      <c r="J28" s="139" t="n"/>
      <c r="K28" s="139" t="n"/>
      <c r="L28" s="139" t="n"/>
      <c r="P28" s="150" t="inlineStr">
        <is>
          <t>C</t>
        </is>
      </c>
      <c r="Q28" s="150" t="inlineStr">
        <is>
          <t>T</t>
        </is>
      </c>
      <c r="R28" s="139" t="n"/>
      <c r="S28" s="139" t="n"/>
      <c r="T28" s="139" t="n"/>
      <c r="U28" s="139" t="n"/>
      <c r="V28" s="139" t="n"/>
      <c r="W28" s="139" t="n"/>
      <c r="X28" s="139" t="n"/>
      <c r="Y28" s="150" t="inlineStr">
        <is>
          <t>T</t>
        </is>
      </c>
      <c r="Z28" s="150" t="inlineStr">
        <is>
          <t>C</t>
        </is>
      </c>
      <c r="AA28" s="128" t="inlineStr">
        <is>
          <t>R</t>
        </is>
      </c>
    </row>
    <row r="29" ht="12.8" customHeight="1" s="130">
      <c r="A29" s="169" t="inlineStr">
        <is>
          <t>CAÑO AZUL 25MM X METRO</t>
        </is>
      </c>
      <c r="B29" s="177" t="n">
        <v>30</v>
      </c>
      <c r="C29" s="209" t="n"/>
      <c r="D29" s="139" t="n"/>
      <c r="J29" s="139" t="n"/>
      <c r="K29" s="139" t="n"/>
      <c r="L29" s="139" t="n"/>
      <c r="P29" s="150" t="inlineStr">
        <is>
          <t>C</t>
        </is>
      </c>
      <c r="Q29" s="150" t="inlineStr">
        <is>
          <t>T</t>
        </is>
      </c>
      <c r="R29" s="139" t="n"/>
      <c r="S29" s="139" t="n"/>
      <c r="T29" s="139" t="n"/>
      <c r="U29" s="139" t="n"/>
      <c r="V29" s="139" t="n"/>
      <c r="W29" s="139" t="n"/>
      <c r="X29" s="139" t="n"/>
      <c r="Y29" s="150" t="inlineStr">
        <is>
          <t>T</t>
        </is>
      </c>
      <c r="Z29" s="150" t="inlineStr">
        <is>
          <t>C</t>
        </is>
      </c>
      <c r="AA29" s="128" t="inlineStr">
        <is>
          <t>R</t>
        </is>
      </c>
    </row>
    <row r="30" ht="12.8" customHeight="1" s="130">
      <c r="A30" s="169" t="inlineStr">
        <is>
          <t>CONECTORES PARA CORRUGADO DE 25MM</t>
        </is>
      </c>
      <c r="B30" s="177" t="n">
        <v>20</v>
      </c>
      <c r="C30" s="209" t="n"/>
      <c r="D30" s="139" t="n"/>
      <c r="J30" s="139" t="n"/>
      <c r="K30" s="139" t="n"/>
      <c r="P30" s="149" t="inlineStr">
        <is>
          <t>C</t>
        </is>
      </c>
      <c r="Q30" s="205" t="inlineStr">
        <is>
          <t>C</t>
        </is>
      </c>
      <c r="R30" s="150" t="inlineStr">
        <is>
          <t>t</t>
        </is>
      </c>
      <c r="S30" s="150" t="inlineStr">
        <is>
          <t>T</t>
        </is>
      </c>
      <c r="T30" s="150" t="inlineStr">
        <is>
          <t>t</t>
        </is>
      </c>
      <c r="U30" s="150" t="inlineStr">
        <is>
          <t>t</t>
        </is>
      </c>
      <c r="V30" s="150" t="inlineStr">
        <is>
          <t>t</t>
        </is>
      </c>
      <c r="W30" s="150" t="inlineStr">
        <is>
          <t>t</t>
        </is>
      </c>
      <c r="X30" s="150" t="inlineStr">
        <is>
          <t>t</t>
        </is>
      </c>
      <c r="Y30" s="205" t="inlineStr">
        <is>
          <t>C</t>
        </is>
      </c>
      <c r="Z30" s="149" t="inlineStr">
        <is>
          <t>C</t>
        </is>
      </c>
      <c r="AA30" s="128" t="inlineStr">
        <is>
          <t>R</t>
        </is>
      </c>
    </row>
    <row r="31" ht="12.8" customHeight="1" s="130">
      <c r="D31" s="139" t="n"/>
      <c r="J31" s="139" t="n"/>
      <c r="K31" s="139" t="n"/>
      <c r="L31" s="139" t="n"/>
      <c r="M31" s="139" t="n"/>
      <c r="O31" s="186" t="n"/>
      <c r="P31" s="149" t="inlineStr">
        <is>
          <t>C</t>
        </is>
      </c>
      <c r="Q31" s="149" t="inlineStr">
        <is>
          <t>C</t>
        </is>
      </c>
      <c r="R31" s="150" t="inlineStr">
        <is>
          <t>C</t>
        </is>
      </c>
      <c r="S31" s="150" t="inlineStr">
        <is>
          <t>C</t>
        </is>
      </c>
      <c r="T31" s="150" t="inlineStr">
        <is>
          <t>C</t>
        </is>
      </c>
      <c r="U31" s="150" t="inlineStr">
        <is>
          <t>C</t>
        </is>
      </c>
      <c r="V31" s="150" t="inlineStr">
        <is>
          <t>C</t>
        </is>
      </c>
      <c r="W31" s="150" t="inlineStr">
        <is>
          <t>C</t>
        </is>
      </c>
      <c r="X31" s="150" t="inlineStr">
        <is>
          <t>C</t>
        </is>
      </c>
      <c r="Y31" s="149" t="inlineStr">
        <is>
          <t>C</t>
        </is>
      </c>
      <c r="Z31" s="149" t="inlineStr">
        <is>
          <t>C</t>
        </is>
      </c>
      <c r="AA31" s="128" t="inlineStr">
        <is>
          <t>R</t>
        </is>
      </c>
    </row>
    <row r="32" ht="12.8" customHeight="1" s="130">
      <c r="D32" s="139" t="n"/>
      <c r="J32" s="139" t="n"/>
      <c r="K32" s="139" t="n"/>
      <c r="L32" s="139" t="n"/>
      <c r="M32" s="139" t="n"/>
      <c r="O32" s="186" t="n"/>
      <c r="P32" s="149" t="inlineStr">
        <is>
          <t>C</t>
        </is>
      </c>
      <c r="Q32" s="149" t="inlineStr">
        <is>
          <t>C</t>
        </is>
      </c>
      <c r="R32" s="150" t="inlineStr">
        <is>
          <t>C</t>
        </is>
      </c>
      <c r="S32" s="150" t="inlineStr">
        <is>
          <t>C</t>
        </is>
      </c>
      <c r="T32" s="150" t="inlineStr">
        <is>
          <t>C</t>
        </is>
      </c>
      <c r="U32" s="150" t="inlineStr">
        <is>
          <t>C</t>
        </is>
      </c>
      <c r="V32" s="150" t="inlineStr">
        <is>
          <t>C</t>
        </is>
      </c>
      <c r="W32" s="150" t="inlineStr">
        <is>
          <t>C</t>
        </is>
      </c>
      <c r="X32" s="150" t="inlineStr">
        <is>
          <t>C</t>
        </is>
      </c>
      <c r="Y32" s="149" t="inlineStr">
        <is>
          <t>C</t>
        </is>
      </c>
      <c r="Z32" s="149" t="inlineStr">
        <is>
          <t>C</t>
        </is>
      </c>
      <c r="AA32" s="128" t="inlineStr">
        <is>
          <t>R</t>
        </is>
      </c>
    </row>
    <row r="33" ht="12.8" customHeight="1" s="130">
      <c r="A33" s="126">
        <f>_xlfn.CONCAT("Total arena"," ", D12," ,",A12)</f>
        <v/>
      </c>
      <c r="B33" s="187">
        <f>_xlfn.CONCAT(ROUNDUP($B$15+$B$18+$E$19,0)," m³")</f>
        <v/>
      </c>
      <c r="C33" s="188" t="n"/>
      <c r="D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49" t="inlineStr">
        <is>
          <t>C</t>
        </is>
      </c>
      <c r="Q33" s="149" t="inlineStr">
        <is>
          <t>C</t>
        </is>
      </c>
      <c r="R33" s="150" t="inlineStr">
        <is>
          <t>C</t>
        </is>
      </c>
      <c r="S33" s="150" t="inlineStr">
        <is>
          <t>C</t>
        </is>
      </c>
      <c r="T33" s="150" t="inlineStr">
        <is>
          <t>C</t>
        </is>
      </c>
      <c r="U33" s="150" t="inlineStr">
        <is>
          <t>C</t>
        </is>
      </c>
      <c r="V33" s="150" t="inlineStr">
        <is>
          <t>C</t>
        </is>
      </c>
      <c r="W33" s="150" t="inlineStr">
        <is>
          <t>C</t>
        </is>
      </c>
      <c r="X33" s="150" t="inlineStr">
        <is>
          <t>C</t>
        </is>
      </c>
      <c r="Y33" s="149" t="inlineStr">
        <is>
          <t>C</t>
        </is>
      </c>
      <c r="Z33" s="149" t="inlineStr">
        <is>
          <t>C</t>
        </is>
      </c>
      <c r="AA33" s="128" t="inlineStr">
        <is>
          <t>R</t>
        </is>
      </c>
    </row>
    <row r="34" ht="12.8" customHeight="1" s="130">
      <c r="A34" s="126" t="inlineStr">
        <is>
          <t>MIXTO M3</t>
        </is>
      </c>
      <c r="B34" s="189">
        <f>_xlfn.CONCAT(ROUNDUP($B$16+$E$26,0)," m³")</f>
        <v/>
      </c>
      <c r="C34" s="190" t="n"/>
      <c r="D34" s="139" t="n"/>
      <c r="J34" s="139" t="n"/>
      <c r="K34" s="139" t="n"/>
      <c r="L34" s="139" t="n"/>
      <c r="M34" s="139" t="n"/>
      <c r="N34" s="139" t="n"/>
      <c r="O34" s="186" t="n"/>
      <c r="P34" s="149" t="n"/>
      <c r="Q34" s="149" t="n"/>
      <c r="R34" s="150" t="n"/>
      <c r="S34" s="150" t="n"/>
      <c r="T34" s="150" t="n"/>
      <c r="U34" s="150" t="n"/>
      <c r="V34" s="150" t="n"/>
      <c r="W34" s="150" t="n"/>
      <c r="X34" s="150" t="n"/>
      <c r="Y34" s="149" t="n"/>
      <c r="Z34" s="149" t="n"/>
    </row>
    <row r="35" ht="12.8" customHeight="1" s="130">
      <c r="A35" s="139" t="n"/>
      <c r="B35" s="139" t="n"/>
      <c r="C35" s="196" t="n"/>
      <c r="E35" s="139" t="n"/>
      <c r="F35" s="139" t="n"/>
      <c r="G35" s="139" t="n"/>
      <c r="H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39" t="n"/>
      <c r="B36" s="139" t="n"/>
      <c r="C36" s="196" t="n"/>
      <c r="E36" s="139" t="n"/>
      <c r="F36" s="139" t="n"/>
      <c r="G36" s="139" t="n"/>
      <c r="H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39" t="n"/>
      <c r="B37" s="139" t="n"/>
      <c r="C37" s="196" t="n"/>
      <c r="E37" s="139" t="n"/>
      <c r="F37" s="139" t="n"/>
      <c r="G37" s="139" t="n"/>
      <c r="H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39" t="n"/>
      <c r="B38" s="139" t="n"/>
      <c r="C38" s="196" t="n"/>
      <c r="D38" s="218" t="n"/>
      <c r="E38" s="139" t="n"/>
      <c r="F38" s="139" t="n"/>
      <c r="G38" s="139" t="n"/>
      <c r="H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39" t="n"/>
      <c r="B39" s="139" t="n"/>
      <c r="C39" s="196" t="n"/>
      <c r="D39" s="218" t="n"/>
      <c r="E39" s="139" t="n"/>
      <c r="F39" s="139" t="n"/>
      <c r="G39" s="139" t="n"/>
      <c r="H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39" t="n"/>
      <c r="B40" s="139" t="n"/>
      <c r="C40" s="196" t="n"/>
      <c r="E40" s="139" t="n"/>
      <c r="F40" s="139" t="n"/>
      <c r="G40" s="139" t="n"/>
      <c r="H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39" t="n"/>
      <c r="B41" s="139" t="n"/>
      <c r="C41" s="196" t="n"/>
      <c r="E41" s="139" t="n"/>
      <c r="F41" s="139" t="n"/>
      <c r="G41" s="139" t="n"/>
      <c r="H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39" t="n"/>
      <c r="B42" s="139" t="n"/>
      <c r="C42" s="196" t="n"/>
      <c r="E42" s="139" t="n"/>
      <c r="F42" s="139" t="n"/>
      <c r="G42" s="139" t="n"/>
      <c r="H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39" t="n"/>
      <c r="B43" s="139" t="n"/>
      <c r="C43" s="196" t="n"/>
      <c r="H43" s="21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39" t="n"/>
      <c r="B44" s="139" t="n"/>
      <c r="C44" s="196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39" t="n"/>
      <c r="B45" s="139" t="n"/>
      <c r="C45" s="196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39" t="n"/>
      <c r="B46" s="139" t="n"/>
      <c r="C46" s="196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39" t="n"/>
      <c r="B47" s="139" t="n"/>
      <c r="C47" s="196" t="n"/>
      <c r="K47" s="139" t="n"/>
      <c r="L47" s="139" t="n"/>
      <c r="M47" s="139" t="n"/>
      <c r="N47" s="139" t="n"/>
    </row>
    <row r="48" ht="12.8" customHeight="1" s="130">
      <c r="A48" s="139" t="n"/>
      <c r="B48" s="139" t="n"/>
      <c r="C48" s="196" t="n"/>
      <c r="J48" s="139" t="n"/>
      <c r="K48" s="139" t="n"/>
      <c r="L48" s="139" t="n"/>
      <c r="M48" s="139" t="n"/>
      <c r="N48" s="139" t="n"/>
    </row>
    <row r="49" ht="12.8" customHeight="1" s="130">
      <c r="J49" s="139" t="n"/>
      <c r="K49" s="139" t="n"/>
      <c r="L49" s="139" t="n"/>
      <c r="M49" s="139" t="n"/>
      <c r="N49" s="139" t="n"/>
    </row>
    <row r="50" ht="12.8" customHeight="1" s="130">
      <c r="J50" s="139" t="n"/>
      <c r="K50" s="139" t="n"/>
      <c r="L50" s="139" t="n"/>
      <c r="M50" s="139" t="n"/>
    </row>
    <row r="51" ht="12.8" customHeight="1" s="130">
      <c r="J51" s="139" t="n"/>
      <c r="K51" s="139" t="n"/>
      <c r="L51" s="139" t="n"/>
      <c r="M51" s="139" t="n"/>
    </row>
    <row r="52" ht="12.8" customHeight="1" s="130">
      <c r="J52" s="139" t="n"/>
      <c r="K52" s="139" t="n"/>
      <c r="L52" s="139" t="n"/>
      <c r="M52" s="139" t="n"/>
    </row>
    <row r="53" ht="12.8" customHeight="1" s="130">
      <c r="J53" s="139" t="n"/>
      <c r="K53" s="139" t="n"/>
      <c r="L53" s="139" t="n"/>
      <c r="M53" s="139" t="n"/>
    </row>
    <row r="54" ht="12.8" customHeight="1" s="130">
      <c r="J54" s="139" t="n"/>
      <c r="K54" s="139" t="n"/>
      <c r="L54" s="139" t="n"/>
      <c r="M54" s="139" t="n"/>
    </row>
    <row r="55" ht="12.8" customHeight="1" s="130">
      <c r="M55" s="220" t="n"/>
    </row>
  </sheetData>
  <mergeCells count="2">
    <mergeCell ref="D12:E12"/>
    <mergeCell ref="A12:B12"/>
  </mergeCells>
  <dataValidations count="1">
    <dataValidation sqref="D2 K2" showDropDown="0" showInputMessage="0" showErrorMessage="1" allowBlank="1" errorStyle="stop" operator="equal">
      <formula1>0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&amp;C&amp;"Arial,Regular"&amp;10 &amp;Kffffff&amp;A</oddHeader>
    <oddFooter>&amp;C&amp;"Arial,Regular"&amp;10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B2:J61"/>
  <sheetViews>
    <sheetView showFormulas="0" showGridLines="1" showRowColHeaders="1" showZeros="1" rightToLeft="0" tabSelected="0" showOutlineSymbols="1" defaultGridColor="1" view="normal" topLeftCell="A1" colorId="64" zoomScale="113" zoomScaleNormal="113" zoomScalePageLayoutView="100" workbookViewId="0">
      <selection pane="topLeft" activeCell="E17" activeCellId="0" sqref="E17"/>
    </sheetView>
  </sheetViews>
  <sheetFormatPr baseColWidth="8" defaultColWidth="10.59765625" defaultRowHeight="12.8" customHeight="1" zeroHeight="0" outlineLevelRow="0"/>
  <cols>
    <col width="31.72" customWidth="1" style="139" min="2" max="2"/>
    <col width="12.57" customWidth="1" style="139" min="3" max="4"/>
    <col width="12.57" customWidth="1" style="221" min="5" max="5"/>
    <col width="15.48" customWidth="1" style="139" min="9" max="9"/>
    <col width="15.36" customWidth="1" style="139" min="10" max="10"/>
    <col width="13.39" customWidth="1" style="139" min="13" max="13"/>
    <col width="12.54" customWidth="1" style="139" min="14" max="14"/>
    <col width="10.94" customWidth="1" style="139" min="15" max="15"/>
    <col width="11.44" customWidth="1" style="139" min="16" max="16"/>
    <col width="11.31" customWidth="1" style="139" min="17" max="17"/>
    <col width="16.46" customWidth="1" style="139" min="18" max="18"/>
    <col width="11.44" customWidth="1" style="139" min="19" max="19"/>
  </cols>
  <sheetData>
    <row r="1" ht="13.8" customHeight="1" s="130"/>
    <row r="2" ht="13.8" customHeight="1" s="130">
      <c r="B2" s="222" t="inlineStr">
        <is>
          <t>Materiales instalacion</t>
        </is>
      </c>
      <c r="C2" s="222" t="n"/>
      <c r="D2" s="222" t="n"/>
    </row>
    <row r="3" ht="13.8" customHeight="1" s="130">
      <c r="B3" s="222" t="n"/>
      <c r="C3" s="222" t="n"/>
      <c r="D3" s="222" t="n"/>
    </row>
    <row r="4" ht="13.8" customHeight="1" s="130">
      <c r="B4" s="223" t="inlineStr">
        <is>
          <t xml:space="preserve">Fecha </t>
        </is>
      </c>
      <c r="C4" s="224" t="n">
        <v>45918</v>
      </c>
    </row>
    <row r="5" ht="13.8" customHeight="1" s="130">
      <c r="B5" s="223" t="inlineStr">
        <is>
          <t>Cliente</t>
        </is>
      </c>
      <c r="C5" s="139" t="inlineStr">
        <is>
          <t>Dardo Petroli</t>
        </is>
      </c>
    </row>
    <row r="6" ht="13.8" customHeight="1" s="130">
      <c r="B6" s="223" t="inlineStr">
        <is>
          <t>Domicilio</t>
        </is>
      </c>
      <c r="C6" s="139" t="inlineStr">
        <is>
          <t>Solana al fondo</t>
        </is>
      </c>
    </row>
    <row r="7" ht="13.8" customHeight="1" s="130">
      <c r="B7" s="223" t="inlineStr">
        <is>
          <t>Piscina</t>
        </is>
      </c>
      <c r="C7" s="139" t="inlineStr">
        <is>
          <t>GEMA AZUL (7.3×3.5 m x 1.4 a 1.6 metros de profundidad o profundidad variable)</t>
        </is>
      </c>
    </row>
    <row r="8" ht="13.8" customHeight="1" s="130"/>
    <row r="9" ht="16.3" customHeight="1" s="130">
      <c r="B9" s="225" t="inlineStr">
        <is>
          <t>Materiales / Consumible</t>
        </is>
      </c>
      <c r="C9" s="225" t="inlineStr">
        <is>
          <t>Marca</t>
        </is>
      </c>
      <c r="D9" s="225" t="inlineStr">
        <is>
          <t>Medidas</t>
        </is>
      </c>
      <c r="E9" s="226" t="inlineStr">
        <is>
          <t>Cantidad</t>
        </is>
      </c>
    </row>
    <row r="10" ht="13.8" customHeight="1" s="130"/>
    <row r="11" ht="13.8" customHeight="1" s="130">
      <c r="B11" s="227" t="inlineStr">
        <is>
          <t>Jesús Olguin</t>
        </is>
      </c>
      <c r="C11" s="228" t="n"/>
      <c r="D11" s="228" t="n"/>
      <c r="E11" s="229" t="n"/>
      <c r="G11" s="222" t="n"/>
    </row>
    <row r="12" ht="13.8" customHeight="1" s="130">
      <c r="B12" s="230" t="n"/>
      <c r="E12" s="231" t="n"/>
      <c r="G12" s="222" t="n"/>
      <c r="I12" s="232" t="n"/>
    </row>
    <row r="13" ht="13.8" customHeight="1" s="130">
      <c r="B13" s="233" t="inlineStr">
        <is>
          <t>Materiales de PVC - Medida 40 mm</t>
        </is>
      </c>
      <c r="E13" s="231" t="n"/>
      <c r="G13" s="222" t="n"/>
    </row>
    <row r="14" ht="13.8" customHeight="1" s="130">
      <c r="B14" s="234" t="inlineStr">
        <is>
          <t>Codo 90°</t>
        </is>
      </c>
      <c r="E14" s="231" t="n">
        <v>50</v>
      </c>
    </row>
    <row r="15" ht="13.8" customHeight="1" s="130">
      <c r="B15" s="234" t="inlineStr">
        <is>
          <t>Codo 45°</t>
        </is>
      </c>
      <c r="E15" s="231" t="n">
        <v>40</v>
      </c>
    </row>
    <row r="16" ht="13.8" customHeight="1" s="130">
      <c r="B16" s="234" t="inlineStr">
        <is>
          <t>Tee</t>
        </is>
      </c>
      <c r="E16" s="231" t="n">
        <v>10</v>
      </c>
    </row>
    <row r="17" ht="13.8" customHeight="1" s="130">
      <c r="B17" s="234" t="inlineStr">
        <is>
          <t>Válvula de corte (esférica)</t>
        </is>
      </c>
      <c r="E17" s="231" t="n">
        <v>6</v>
      </c>
    </row>
    <row r="18" ht="13.8" customHeight="1" s="130">
      <c r="B18" s="234" t="inlineStr">
        <is>
          <t>Caños PN10 x 6 m</t>
        </is>
      </c>
      <c r="E18" s="231" t="n">
        <v>14</v>
      </c>
    </row>
    <row r="19" ht="13.8" customHeight="1" s="130">
      <c r="B19" s="234" t="n"/>
      <c r="E19" s="231" t="n"/>
    </row>
    <row r="20" ht="13.8" customHeight="1" s="130">
      <c r="B20" s="234" t="n"/>
      <c r="E20" s="231" t="n"/>
    </row>
    <row r="21" ht="23.25" customHeight="1" s="130">
      <c r="B21" s="230" t="inlineStr">
        <is>
          <t xml:space="preserve">Adicionales </t>
        </is>
      </c>
      <c r="C21" s="222" t="n"/>
      <c r="D21" s="222" t="n"/>
      <c r="E21" s="231" t="n"/>
    </row>
    <row r="22" ht="13.8" customHeight="1" s="130">
      <c r="B22" s="234" t="inlineStr">
        <is>
          <t>Pegamento PVC azul (Tigre) x 500 ml</t>
        </is>
      </c>
      <c r="E22" s="231" t="n">
        <v>2</v>
      </c>
    </row>
    <row r="23" ht="13.8" customHeight="1" s="130">
      <c r="B23" s="234" t="inlineStr">
        <is>
          <t>Acetona x 1 Litro</t>
        </is>
      </c>
      <c r="E23" s="231" t="n">
        <v>1</v>
      </c>
    </row>
    <row r="24" ht="13.8" customHeight="1" s="130">
      <c r="B24" s="234" t="inlineStr">
        <is>
          <t>Cinta teflón 1 rollo ALTA DENSIDAD</t>
        </is>
      </c>
      <c r="E24" s="231" t="n">
        <v>2</v>
      </c>
    </row>
    <row r="25" ht="13.8" customHeight="1" s="130">
      <c r="B25" s="234" t="inlineStr">
        <is>
          <t>Pasta selladora 1 tubo</t>
        </is>
      </c>
      <c r="E25" s="231" t="n">
        <v>1</v>
      </c>
    </row>
    <row r="26" ht="13.8" customHeight="1" s="130">
      <c r="B26" s="234" t="inlineStr">
        <is>
          <t>Abrazaderas  mm</t>
        </is>
      </c>
      <c r="E26" s="231" t="n">
        <v>0</v>
      </c>
    </row>
    <row r="27" ht="13.8" customHeight="1" s="130">
      <c r="B27" s="234" t="n"/>
      <c r="E27" s="231" t="n"/>
    </row>
    <row r="28" ht="13.8" customHeight="1" s="130">
      <c r="B28" s="234" t="n"/>
      <c r="E28" s="231" t="n"/>
    </row>
    <row r="29" ht="13.8" customHeight="1" s="130">
      <c r="B29" s="233" t="inlineStr">
        <is>
          <t>Materiales construcción Instalacion</t>
        </is>
      </c>
      <c r="E29" s="235" t="n"/>
    </row>
    <row r="30" ht="13.8" customHeight="1" s="130">
      <c r="B30" s="234" t="inlineStr">
        <is>
          <t xml:space="preserve">Tanza roja </t>
        </is>
      </c>
      <c r="E30" s="231" t="n">
        <v>1</v>
      </c>
    </row>
    <row r="31" ht="13.8" customHeight="1" s="130">
      <c r="B31" s="234" t="inlineStr">
        <is>
          <t xml:space="preserve">Spray o tiza </t>
        </is>
      </c>
      <c r="E31" s="231" t="n">
        <v>1</v>
      </c>
    </row>
    <row r="32" ht="13.8" customHeight="1" s="130">
      <c r="B32" s="234" t="inlineStr">
        <is>
          <t>Estacas</t>
        </is>
      </c>
      <c r="E32" s="231" t="n">
        <v>4</v>
      </c>
    </row>
    <row r="33" ht="13.8" customHeight="1" s="130">
      <c r="B33" s="234" t="inlineStr">
        <is>
          <t>Nylon de 200 Geotextil x m</t>
        </is>
      </c>
      <c r="E33" s="231" t="n">
        <v>8</v>
      </c>
    </row>
    <row r="34" ht="13.8" customHeight="1" s="130">
      <c r="B34" s="234" t="inlineStr">
        <is>
          <t>Cemento 50 kg bolsas para la cama</t>
        </is>
      </c>
      <c r="E34" s="231" t="n">
        <v>8</v>
      </c>
    </row>
    <row r="35" ht="16.3" customHeight="1" s="130">
      <c r="B35" s="236" t="inlineStr">
        <is>
          <t xml:space="preserve">Malla sima 6 mm </t>
        </is>
      </c>
      <c r="C35" s="237" t="n"/>
      <c r="E35" s="238" t="n">
        <v>1</v>
      </c>
    </row>
    <row r="36" ht="46.25" customHeight="1" s="130">
      <c r="B36" s="236" t="inlineStr">
        <is>
          <t>Ladrillos cerámicos (para relleno )</t>
        </is>
      </c>
      <c r="C36" s="237" t="n"/>
      <c r="E36" s="239" t="inlineStr">
        <is>
          <t>Acordar con el albañil de ser necesario</t>
        </is>
      </c>
    </row>
    <row r="37" ht="16.3" customHeight="1" s="130">
      <c r="B37" s="236" t="inlineStr">
        <is>
          <t xml:space="preserve">Mixto para relleno </t>
        </is>
      </c>
      <c r="C37" s="237" t="inlineStr">
        <is>
          <t>m3</t>
        </is>
      </c>
      <c r="E37" s="238" t="n">
        <v>3</v>
      </c>
    </row>
    <row r="38" ht="16.3" customHeight="1" s="130">
      <c r="B38" s="236" t="inlineStr">
        <is>
          <t>Mixto para la cama</t>
        </is>
      </c>
      <c r="C38" s="237" t="inlineStr">
        <is>
          <t>m3</t>
        </is>
      </c>
      <c r="E38" s="238" t="n">
        <v>1</v>
      </c>
    </row>
    <row r="39" ht="16.3" customHeight="1" s="130">
      <c r="B39" s="234" t="inlineStr">
        <is>
          <t xml:space="preserve">Arena Gruesa m3 </t>
        </is>
      </c>
      <c r="C39" s="237" t="inlineStr">
        <is>
          <t>m3</t>
        </is>
      </c>
      <c r="E39" s="231" t="n">
        <v>3</v>
      </c>
    </row>
    <row r="40" ht="16.3" customHeight="1" s="130">
      <c r="B40" s="240" t="inlineStr">
        <is>
          <t>Arena para tapado de piscina</t>
        </is>
      </c>
      <c r="C40" s="241" t="inlineStr">
        <is>
          <t>m3</t>
        </is>
      </c>
      <c r="D40" s="242" t="n"/>
      <c r="E40" s="243" t="n">
        <v>2</v>
      </c>
    </row>
    <row r="41" ht="13.8" customHeight="1" s="130"/>
    <row r="42" ht="13.8" customHeight="1" s="130"/>
    <row r="43" ht="13.8" customHeight="1" s="130"/>
    <row r="44" ht="13.8" customHeight="1" s="130">
      <c r="B44" s="139" t="n"/>
      <c r="C44" s="139" t="n"/>
      <c r="D44" s="139" t="n"/>
      <c r="E44" s="221" t="n"/>
    </row>
    <row r="45" ht="13.8" customHeight="1" s="130">
      <c r="B45" s="227" t="inlineStr">
        <is>
          <t>Chino Peralta</t>
        </is>
      </c>
      <c r="C45" s="228" t="n"/>
      <c r="D45" s="228" t="n"/>
      <c r="E45" s="229" t="n"/>
    </row>
    <row r="46" ht="13.8" customHeight="1" s="130">
      <c r="B46" s="230" t="n"/>
      <c r="E46" s="231" t="n"/>
    </row>
    <row r="47" ht="13.8" customHeight="1" s="130">
      <c r="B47" s="233" t="inlineStr">
        <is>
          <t>Materiales construcción contrapiso y losetas</t>
        </is>
      </c>
      <c r="C47" s="222" t="n"/>
      <c r="E47" s="235" t="n"/>
    </row>
    <row r="48" ht="13.8" customHeight="1" s="130">
      <c r="B48" s="234" t="inlineStr">
        <is>
          <t xml:space="preserve">Tanza roja </t>
        </is>
      </c>
      <c r="E48" s="231" t="n">
        <v>1</v>
      </c>
    </row>
    <row r="49" ht="13.8" customHeight="1" s="130">
      <c r="B49" s="234" t="inlineStr">
        <is>
          <t xml:space="preserve">Spray o tiza </t>
        </is>
      </c>
      <c r="E49" s="231" t="n">
        <v>1</v>
      </c>
    </row>
    <row r="50" ht="13.8" customHeight="1" s="130">
      <c r="B50" s="234" t="inlineStr">
        <is>
          <t>Estacas</t>
        </is>
      </c>
      <c r="E50" s="231" t="n">
        <v>4</v>
      </c>
    </row>
    <row r="51" ht="13.8" customHeight="1" s="130">
      <c r="B51" s="234" t="inlineStr">
        <is>
          <t>Nylon de 200 micr o Geotextil x m</t>
        </is>
      </c>
      <c r="E51" s="231" t="n">
        <v>8</v>
      </c>
    </row>
    <row r="52" ht="13.8" customHeight="1" s="130">
      <c r="B52" s="234" t="inlineStr">
        <is>
          <t>Cemento 50 kg bolsas instalacion</t>
        </is>
      </c>
      <c r="E52" s="231" t="n">
        <v>8</v>
      </c>
    </row>
    <row r="53" ht="13.8" customHeight="1" s="130">
      <c r="B53" s="234" t="inlineStr">
        <is>
          <t>Cemento 50 kg bolsas loza</t>
        </is>
      </c>
      <c r="E53" s="231" t="n">
        <v>38</v>
      </c>
    </row>
    <row r="54" ht="16.3" customHeight="1" s="130">
      <c r="B54" s="236" t="inlineStr">
        <is>
          <t xml:space="preserve">Pegamento losetas Klaukol </t>
        </is>
      </c>
      <c r="C54" s="237" t="n"/>
      <c r="E54" s="238" t="n">
        <v>6</v>
      </c>
    </row>
    <row r="55" ht="16.3" customHeight="1" s="130">
      <c r="B55" s="236" t="inlineStr">
        <is>
          <t xml:space="preserve">Malla sima 6 mm </t>
        </is>
      </c>
      <c r="C55" s="237" t="n"/>
      <c r="E55" s="244" t="n">
        <v>4</v>
      </c>
    </row>
    <row r="56" ht="16.3" customHeight="1" s="130">
      <c r="B56" s="236" t="inlineStr">
        <is>
          <t>Alambre liso de atar x KG</t>
        </is>
      </c>
      <c r="C56" s="237" t="n"/>
      <c r="E56" s="238" t="n">
        <v>1</v>
      </c>
    </row>
    <row r="57" ht="46.25" customHeight="1" s="130">
      <c r="B57" s="236" t="inlineStr">
        <is>
          <t>Ladrillos cerámicos (para relleno )</t>
        </is>
      </c>
      <c r="C57" s="237" t="n"/>
      <c r="E57" s="239" t="inlineStr">
        <is>
          <t>Acordar con el albañil de ser necesario</t>
        </is>
      </c>
    </row>
    <row r="58" ht="13.8" customHeight="1" s="130">
      <c r="B58" s="236" t="n"/>
      <c r="C58" s="237" t="n"/>
      <c r="E58" s="238" t="n"/>
    </row>
    <row r="59" ht="31.3" customHeight="1" s="130">
      <c r="B59" s="236" t="inlineStr">
        <is>
          <t>Mixto para CONTRAPISO DE VEREDAS</t>
        </is>
      </c>
      <c r="C59" s="237" t="inlineStr">
        <is>
          <t>m3</t>
        </is>
      </c>
      <c r="E59" s="238" t="n">
        <v>3</v>
      </c>
    </row>
    <row r="60" ht="13.8" customHeight="1" s="130">
      <c r="B60" s="234" t="n"/>
      <c r="C60" s="237" t="n"/>
      <c r="E60" s="231" t="n"/>
    </row>
    <row r="61" ht="16.3" customHeight="1" s="130">
      <c r="B61" s="240" t="inlineStr">
        <is>
          <t>Arena para CONTRAPISO m3</t>
        </is>
      </c>
      <c r="C61" s="241" t="inlineStr">
        <is>
          <t>m3</t>
        </is>
      </c>
      <c r="D61" s="242" t="n"/>
      <c r="E61" s="243" t="n">
        <v>3</v>
      </c>
    </row>
  </sheetData>
  <mergeCells count="1">
    <mergeCell ref="I12:J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CED1"/>
    <outlinePr summaryBelow="1" summaryRight="1"/>
    <pageSetUpPr fitToPage="0"/>
  </sheetPr>
  <dimension ref="A1:Z55"/>
  <sheetViews>
    <sheetView showFormulas="0" showGridLines="1" showRowColHeaders="1" showZeros="1" rightToLeft="0" tabSelected="1" showOutlineSymbols="1" defaultGridColor="1" view="normal" topLeftCell="A4" colorId="64" zoomScale="113" zoomScaleNormal="113" zoomScalePageLayoutView="100" workbookViewId="0">
      <selection pane="topLeft" activeCell="H34" activeCellId="0" sqref="H34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5"/>
    <col width="10.16" customWidth="1" style="128" min="6" max="10"/>
    <col width="12.9" customWidth="1" style="128" min="11" max="11"/>
    <col width="10.16" customWidth="1" style="128" min="12" max="14"/>
    <col width="1.26" customWidth="1" style="129" min="15" max="15"/>
    <col width="9.470000000000001" customWidth="1" style="128" min="16" max="16"/>
    <col width="7.21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5.5" customWidth="1" style="128" min="24" max="24"/>
    <col width="4.59" customWidth="1" style="128" min="25" max="25"/>
    <col width="10.16" customWidth="1" style="128" min="26" max="27"/>
  </cols>
  <sheetData>
    <row r="1" ht="13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3.8" customHeight="1" s="130">
      <c r="A2" s="131" t="n">
        <v>6500</v>
      </c>
      <c r="B2" s="131" t="n">
        <v>3100</v>
      </c>
      <c r="D2" s="132" t="inlineStr">
        <is>
          <t>terminacion</t>
        </is>
      </c>
      <c r="E2" s="133" t="n">
        <v>1300</v>
      </c>
      <c r="F2" s="133" t="n">
        <v>1600</v>
      </c>
      <c r="G2" s="133" t="n">
        <v>4</v>
      </c>
      <c r="H2" s="133" t="n">
        <v>4</v>
      </c>
      <c r="I2" s="133" t="n">
        <v>1</v>
      </c>
      <c r="J2" s="133" t="n">
        <v>1</v>
      </c>
      <c r="K2" s="133" t="inlineStr">
        <is>
          <t>LOMO</t>
        </is>
      </c>
      <c r="L2" s="133" t="n">
        <v>400</v>
      </c>
      <c r="M2" s="133" t="n">
        <v>500</v>
      </c>
      <c r="N2" s="133" t="n">
        <v>0</v>
      </c>
    </row>
    <row r="3" ht="21.1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3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3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9" t="n"/>
      <c r="B7" s="139" t="n"/>
      <c r="C7" s="196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Largo Malla (mm)</t>
        </is>
      </c>
      <c r="J7" s="138" t="inlineStr">
        <is>
          <t>Ancho Malla (mm)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39" t="n"/>
      <c r="C8" s="196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39" t="n"/>
      <c r="C9" s="19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97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98" t="n"/>
    </row>
    <row r="10" ht="13.8" customHeight="1" s="130">
      <c r="A10" s="139" t="n"/>
      <c r="B10" s="139" t="n"/>
      <c r="C10" s="196" t="n"/>
      <c r="D10" s="143" t="n"/>
      <c r="E10" s="143" t="n">
        <v>50</v>
      </c>
      <c r="F10" s="143" t="n"/>
      <c r="G10" s="143" t="n">
        <v>1</v>
      </c>
      <c r="H10" s="143">
        <f>0.6</f>
        <v/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50" t="n"/>
      <c r="Y10" s="149" t="n"/>
      <c r="Z10" s="149" t="n"/>
    </row>
    <row r="11" ht="13.8" customHeight="1" s="130">
      <c r="A11" s="139" t="n"/>
      <c r="B11" s="139" t="n"/>
      <c r="C11" s="196" t="n"/>
      <c r="D11" s="153" t="n"/>
      <c r="E11" s="153" t="n"/>
      <c r="P11" s="149" t="inlineStr">
        <is>
          <t>C</t>
        </is>
      </c>
      <c r="Q11" s="149" t="inlineStr">
        <is>
          <t>C</t>
        </is>
      </c>
      <c r="R11" s="150" t="inlineStr">
        <is>
          <t>C</t>
        </is>
      </c>
      <c r="S11" s="150" t="inlineStr">
        <is>
          <t>C</t>
        </is>
      </c>
      <c r="T11" s="150" t="inlineStr">
        <is>
          <t>C</t>
        </is>
      </c>
      <c r="U11" s="150" t="inlineStr">
        <is>
          <t>C</t>
        </is>
      </c>
      <c r="V11" s="150" t="inlineStr">
        <is>
          <t>C</t>
        </is>
      </c>
      <c r="W11" s="150" t="inlineStr">
        <is>
          <t>C</t>
        </is>
      </c>
      <c r="X11" s="150" t="inlineStr">
        <is>
          <t>C</t>
        </is>
      </c>
      <c r="Y11" s="149" t="inlineStr">
        <is>
          <t>C</t>
        </is>
      </c>
      <c r="Z11" s="149" t="inlineStr">
        <is>
          <t>C</t>
        </is>
      </c>
    </row>
    <row r="12" ht="12.8" customHeight="1" s="130">
      <c r="A12" s="199" t="inlineStr">
        <is>
          <t>JESUS</t>
        </is>
      </c>
      <c r="B12" s="157" t="n"/>
      <c r="C12" s="158" t="n"/>
      <c r="D12" s="200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49" t="inlineStr">
        <is>
          <t>C</t>
        </is>
      </c>
      <c r="Q12" s="149" t="inlineStr">
        <is>
          <t>C</t>
        </is>
      </c>
      <c r="R12" s="150" t="inlineStr">
        <is>
          <t>C</t>
        </is>
      </c>
      <c r="S12" s="150" t="inlineStr">
        <is>
          <t>C</t>
        </is>
      </c>
      <c r="T12" s="150" t="inlineStr">
        <is>
          <t>C</t>
        </is>
      </c>
      <c r="U12" s="150" t="inlineStr">
        <is>
          <t>C</t>
        </is>
      </c>
      <c r="V12" s="150" t="inlineStr">
        <is>
          <t>C</t>
        </is>
      </c>
      <c r="W12" s="150" t="inlineStr">
        <is>
          <t>C</t>
        </is>
      </c>
      <c r="X12" s="150" t="inlineStr">
        <is>
          <t>C</t>
        </is>
      </c>
      <c r="Y12" s="149" t="inlineStr">
        <is>
          <t>C</t>
        </is>
      </c>
      <c r="Z12" s="149" t="inlineStr">
        <is>
          <t>C</t>
        </is>
      </c>
    </row>
    <row r="13" ht="12.8" customHeight="1" s="130">
      <c r="A13" s="160" t="inlineStr">
        <is>
          <t>SUPERFICIE DE LA CAMA</t>
        </is>
      </c>
      <c r="B13" s="161">
        <f>($A$2*$B$2/1000000) &amp; "m2"</f>
        <v/>
      </c>
      <c r="C13" s="201" t="n"/>
      <c r="D13" s="202" t="inlineStr">
        <is>
          <t>PRIMERA HILADA O ANILLO</t>
        </is>
      </c>
      <c r="E13" s="203">
        <f>_xlfn.IFS(  $D$2="terminacion", ROUNDUP(($A$2/$M$3*2)+($B$2/$M$2*2),0) &amp; " Terminación",  $D$2="lomo", ROUNDUP(($A$2/$M$3*2)+($B$2/$M$2*2)+4,0) &amp; " Lomo Ballena" )</f>
        <v/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49" t="inlineStr">
        <is>
          <t>C</t>
        </is>
      </c>
      <c r="Q13" s="149" t="inlineStr">
        <is>
          <t>C</t>
        </is>
      </c>
      <c r="R13" s="150" t="inlineStr">
        <is>
          <t>C</t>
        </is>
      </c>
      <c r="S13" s="150" t="inlineStr">
        <is>
          <t>C</t>
        </is>
      </c>
      <c r="T13" s="150" t="inlineStr">
        <is>
          <t>C</t>
        </is>
      </c>
      <c r="U13" s="150" t="inlineStr">
        <is>
          <t>C</t>
        </is>
      </c>
      <c r="V13" s="150" t="inlineStr">
        <is>
          <t>C</t>
        </is>
      </c>
      <c r="W13" s="150" t="inlineStr">
        <is>
          <t>C</t>
        </is>
      </c>
      <c r="X13" s="150" t="inlineStr">
        <is>
          <t>C</t>
        </is>
      </c>
      <c r="Y13" s="149" t="inlineStr">
        <is>
          <t>C</t>
        </is>
      </c>
      <c r="Z13" s="149" t="inlineStr">
        <is>
          <t>C</t>
        </is>
      </c>
    </row>
    <row r="14" ht="14.5" customHeight="1" s="130">
      <c r="A14" s="160" t="inlineStr">
        <is>
          <t>VOLUMEN DE LA CAMA M3</t>
        </is>
      </c>
      <c r="B14" s="161">
        <f>ROUNDUP((($A$2+1000)*($B$2+1000))/1000000,0) * ($E$9/1000)</f>
        <v/>
      </c>
      <c r="C14" s="201" t="n"/>
      <c r="D14" s="202" t="inlineStr">
        <is>
          <t>ESQUINEROS</t>
        </is>
      </c>
      <c r="E14" s="204">
        <f>IF($D$2="LOMO",COUNTIF(grilla,"E"),"-")</f>
        <v/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($M$6/1000)^2)</f>
        <v/>
      </c>
      <c r="P14" s="149" t="inlineStr">
        <is>
          <t>C</t>
        </is>
      </c>
      <c r="Q14" s="205" t="inlineStr">
        <is>
          <t>e</t>
        </is>
      </c>
      <c r="R14" s="150" t="inlineStr">
        <is>
          <t>l</t>
        </is>
      </c>
      <c r="S14" s="150" t="inlineStr">
        <is>
          <t>l</t>
        </is>
      </c>
      <c r="T14" s="150" t="inlineStr">
        <is>
          <t>l</t>
        </is>
      </c>
      <c r="U14" s="150" t="inlineStr">
        <is>
          <t>l</t>
        </is>
      </c>
      <c r="V14" s="150" t="inlineStr">
        <is>
          <t>l</t>
        </is>
      </c>
      <c r="W14" s="150" t="inlineStr">
        <is>
          <t>l</t>
        </is>
      </c>
      <c r="X14" s="150" t="inlineStr">
        <is>
          <t>l</t>
        </is>
      </c>
      <c r="Y14" s="205" t="inlineStr">
        <is>
          <t>e</t>
        </is>
      </c>
      <c r="Z14" s="149" t="inlineStr">
        <is>
          <t>C</t>
        </is>
      </c>
    </row>
    <row r="15" ht="14.5" customHeight="1" s="130">
      <c r="A15" s="169" t="inlineStr">
        <is>
          <t>ARENA M3</t>
        </is>
      </c>
      <c r="B15" s="173">
        <f>((($A$2+1000)*($B$2+1000))/1000000) * ($E$9/1000) * $G$9</f>
        <v/>
      </c>
      <c r="C15" s="206" t="n"/>
      <c r="D15" s="202" t="inlineStr">
        <is>
          <t>LOSETAS COMUNES</t>
        </is>
      </c>
      <c r="E15" s="204">
        <f>COUNTIF(grilla,"C")</f>
        <v/>
      </c>
      <c r="G15" s="128" t="inlineStr">
        <is>
          <t>rejillas</t>
        </is>
      </c>
      <c r="H15" s="128">
        <f>IF(COUNTIF(grilla,"R")=0,"-",COUNTIF(grilla,"R"))</f>
        <v/>
      </c>
      <c r="I15" s="165" t="n">
        <v>0.1</v>
      </c>
      <c r="J15" s="167">
        <f>COUNTIF(grilla,"R")*0.1</f>
        <v/>
      </c>
      <c r="K15" s="139" t="n"/>
      <c r="P15" s="150" t="inlineStr">
        <is>
          <t>C</t>
        </is>
      </c>
      <c r="Q15" s="150" t="inlineStr">
        <is>
          <t>l</t>
        </is>
      </c>
      <c r="Y15" s="150" t="inlineStr">
        <is>
          <t>l</t>
        </is>
      </c>
      <c r="Z15" s="150" t="inlineStr">
        <is>
          <t>C</t>
        </is>
      </c>
    </row>
    <row r="16" ht="13.8" customHeight="1" s="130">
      <c r="A16" s="169" t="inlineStr">
        <is>
          <t>MIXTO M3</t>
        </is>
      </c>
      <c r="B16" s="173">
        <f>((($A$2+1000)*($B$2+1000))/1000000) * ($E$9/1000) * $H$9</f>
        <v/>
      </c>
      <c r="C16" s="206" t="n"/>
      <c r="D16" s="207" t="inlineStr">
        <is>
          <t xml:space="preserve">M2 DE VEREDA COMPLETA </t>
        </is>
      </c>
      <c r="E16" s="208">
        <f>$J$18</f>
        <v/>
      </c>
      <c r="G16" s="128" t="inlineStr">
        <is>
          <t>terminacion</t>
        </is>
      </c>
      <c r="H16" s="128">
        <f>COUNTIF(grilla,"T")</f>
        <v/>
      </c>
      <c r="I16" s="165" t="n">
        <v>0.24</v>
      </c>
      <c r="J16" s="167">
        <f>COUNTIF(grilla,"T")*0.24</f>
        <v/>
      </c>
      <c r="K16" s="139" t="n"/>
      <c r="P16" s="150" t="inlineStr">
        <is>
          <t>C</t>
        </is>
      </c>
      <c r="Q16" s="150" t="inlineStr">
        <is>
          <t>l</t>
        </is>
      </c>
      <c r="Y16" s="150" t="inlineStr">
        <is>
          <t>l</t>
        </is>
      </c>
      <c r="Z16" s="150" t="inlineStr">
        <is>
          <t>C</t>
        </is>
      </c>
    </row>
    <row r="17" ht="13.8" customHeight="1" s="130">
      <c r="A17" s="169" t="inlineStr">
        <is>
          <t>MALLA</t>
        </is>
      </c>
      <c r="B17" s="173">
        <f>ROUNDUP(   ( (($A$2+1000)*($B$2+1000) - $A$2*$B$2) / 1000000 )   / ( IF($I$8&gt;50, $I$8/1000, $I$8) * IF($J$8&gt;50, $J$8/1000, $J$8) ) , 0)</f>
        <v/>
      </c>
      <c r="C17" s="206" t="n"/>
      <c r="D17" s="207" t="inlineStr">
        <is>
          <t>M3 CONTRAPISO VEREDA</t>
        </is>
      </c>
      <c r="E17" s="208">
        <f>ROUNDUP($E$16*($E$8/1000),0)</f>
        <v/>
      </c>
      <c r="G17" s="128" t="inlineStr">
        <is>
          <t>lomo ballena</t>
        </is>
      </c>
      <c r="H17" s="128">
        <f>IF(COUNTIF(grilla,"L")=0,"-",COUNTIF(grilla,"L"))</f>
        <v/>
      </c>
      <c r="I17" s="165" t="n">
        <v>0.2</v>
      </c>
      <c r="J17" s="167">
        <f>COUNTIF(grilla,"L")*0.2</f>
        <v/>
      </c>
      <c r="K17" s="139" t="n"/>
      <c r="P17" s="150" t="inlineStr">
        <is>
          <t>C</t>
        </is>
      </c>
      <c r="Q17" s="150" t="inlineStr">
        <is>
          <t>l</t>
        </is>
      </c>
      <c r="Y17" s="150" t="inlineStr">
        <is>
          <t>l</t>
        </is>
      </c>
      <c r="Z17" s="150" t="inlineStr">
        <is>
          <t>C</t>
        </is>
      </c>
    </row>
    <row r="18" ht="27.7" customHeight="1" s="130">
      <c r="A18" s="169" t="inlineStr">
        <is>
          <t>ARENA PARA TAPADO M3</t>
        </is>
      </c>
      <c r="B18" s="173">
        <f>((($A$2+2*$F$2)/1000)*(($B$2+2*$F$2)/1000)*($E$9/1000) - ($A$2/1000)*($B$2/1000)*($E$9/1000))</f>
        <v/>
      </c>
      <c r="C18" s="206" t="n"/>
      <c r="D18" s="202" t="inlineStr">
        <is>
          <t>BOLSAS DE CEMENTO</t>
        </is>
      </c>
      <c r="E18" s="204">
        <f>ROUNDUP($E$16*($E$8/1000)*$F$8,0)</f>
        <v/>
      </c>
      <c r="G18" s="128" t="inlineStr">
        <is>
          <t>TOTAL</t>
        </is>
      </c>
      <c r="J18" s="128">
        <f>SUM($J$13:$J$17)</f>
        <v/>
      </c>
      <c r="K18" s="139" t="n"/>
      <c r="P18" s="150" t="inlineStr">
        <is>
          <t>C</t>
        </is>
      </c>
      <c r="Q18" s="150" t="inlineStr">
        <is>
          <t>l</t>
        </is>
      </c>
      <c r="Y18" s="150" t="inlineStr">
        <is>
          <t>l</t>
        </is>
      </c>
      <c r="Z18" s="150" t="inlineStr">
        <is>
          <t>C</t>
        </is>
      </c>
    </row>
    <row r="19" ht="14.5" customHeight="1" s="130">
      <c r="A19" s="169" t="inlineStr">
        <is>
          <t>CEMENTO</t>
        </is>
      </c>
      <c r="B19" s="177" t="n">
        <v>8</v>
      </c>
      <c r="C19" s="209" t="n"/>
      <c r="D19" s="202" t="inlineStr">
        <is>
          <t>ARENA M3</t>
        </is>
      </c>
      <c r="E19" s="210">
        <f>ROUNDUP($E$16*($E$8/1000),0)</f>
        <v/>
      </c>
      <c r="J19" s="139" t="n"/>
      <c r="K19" s="139" t="n"/>
      <c r="P19" s="150" t="inlineStr">
        <is>
          <t>C</t>
        </is>
      </c>
      <c r="Q19" s="150" t="inlineStr">
        <is>
          <t>l</t>
        </is>
      </c>
      <c r="Y19" s="150" t="inlineStr">
        <is>
          <t>l</t>
        </is>
      </c>
      <c r="Z19" s="150" t="inlineStr">
        <is>
          <t>C</t>
        </is>
      </c>
    </row>
    <row r="20" ht="12.8" customHeight="1" s="130">
      <c r="A20" s="169" t="inlineStr">
        <is>
          <t>TEE</t>
        </is>
      </c>
      <c r="B20" s="177" t="n">
        <v>10</v>
      </c>
      <c r="C20" s="209" t="n"/>
      <c r="D20" s="202" t="inlineStr">
        <is>
          <t>PIEDRA</t>
        </is>
      </c>
      <c r="E20" s="210">
        <f>(( ($A$2+($I$2+$J$2)*500+2*$D$8)*($B$2+($G$2+$H$2)*500+2*$D$8) -$A$2*$B$2 ) / 1000000) * ($E$8/1000) * $H$10</f>
        <v/>
      </c>
      <c r="J20" s="139" t="n"/>
      <c r="K20" s="139" t="n"/>
      <c r="P20" s="150" t="inlineStr">
        <is>
          <t>C</t>
        </is>
      </c>
      <c r="Q20" s="150" t="inlineStr">
        <is>
          <t>l</t>
        </is>
      </c>
      <c r="Y20" s="150" t="inlineStr">
        <is>
          <t>l</t>
        </is>
      </c>
      <c r="Z20" s="150" t="inlineStr">
        <is>
          <t>C</t>
        </is>
      </c>
    </row>
    <row r="21" ht="12.8" customHeight="1" s="130">
      <c r="A21" s="169" t="inlineStr">
        <is>
          <t>CODO 90º</t>
        </is>
      </c>
      <c r="B21" s="177" t="n">
        <v>50</v>
      </c>
      <c r="C21" s="209" t="n"/>
      <c r="D21" s="202" t="inlineStr">
        <is>
          <t>MALLA</t>
        </is>
      </c>
      <c r="E21" s="204">
        <f>ROUNDUP(  $E$16 /   ( IF($I$8&gt;50,$I$8/1000,$I$8) *     IF($J$8&gt;50,$J$8/1000,$J$8) ) ,0)</f>
        <v/>
      </c>
      <c r="J21" s="139" t="n"/>
      <c r="K21" s="139" t="n"/>
      <c r="P21" s="150" t="inlineStr">
        <is>
          <t>C</t>
        </is>
      </c>
      <c r="Q21" s="150" t="inlineStr">
        <is>
          <t>l</t>
        </is>
      </c>
      <c r="Y21" s="150" t="inlineStr">
        <is>
          <t>l</t>
        </is>
      </c>
      <c r="Z21" s="150" t="inlineStr">
        <is>
          <t>C</t>
        </is>
      </c>
    </row>
    <row r="22" ht="12.8" customHeight="1" s="130">
      <c r="A22" s="169" t="inlineStr">
        <is>
          <t>CODO 45º</t>
        </is>
      </c>
      <c r="B22" s="177" t="n">
        <v>40</v>
      </c>
      <c r="C22" s="209" t="n"/>
      <c r="D22" s="202" t="inlineStr">
        <is>
          <t>ALAMBRE #14 x KG</t>
        </is>
      </c>
      <c r="E22" s="204" t="n">
        <v>1</v>
      </c>
      <c r="J22" s="139" t="n"/>
      <c r="K22" s="139" t="n"/>
      <c r="P22" s="150" t="inlineStr">
        <is>
          <t>C</t>
        </is>
      </c>
      <c r="Q22" s="150" t="inlineStr">
        <is>
          <t>l</t>
        </is>
      </c>
      <c r="Y22" s="150" t="inlineStr">
        <is>
          <t>l</t>
        </is>
      </c>
      <c r="Z22" s="150" t="inlineStr">
        <is>
          <t>C</t>
        </is>
      </c>
    </row>
    <row r="23" ht="12.8" customHeight="1" s="130">
      <c r="A23" s="169" t="inlineStr">
        <is>
          <t>UNION SIMPLE</t>
        </is>
      </c>
      <c r="B23" s="177" t="n">
        <v>8</v>
      </c>
      <c r="C23" s="209" t="n"/>
      <c r="D23" s="202" t="inlineStr">
        <is>
          <t>CLAVOS 2,5 PULGADAS KG</t>
        </is>
      </c>
      <c r="E23" s="204" t="n">
        <v>1</v>
      </c>
      <c r="J23" s="139" t="n"/>
      <c r="K23" s="139" t="n"/>
      <c r="P23" s="150" t="inlineStr">
        <is>
          <t>C</t>
        </is>
      </c>
      <c r="Q23" s="150" t="inlineStr">
        <is>
          <t>l</t>
        </is>
      </c>
      <c r="Y23" s="150" t="inlineStr">
        <is>
          <t>l</t>
        </is>
      </c>
      <c r="Z23" s="150" t="inlineStr">
        <is>
          <t>C</t>
        </is>
      </c>
    </row>
    <row r="24" ht="12.8" customHeight="1" s="130">
      <c r="A24" s="169" t="inlineStr">
        <is>
          <t xml:space="preserve">UNION DOBLE </t>
        </is>
      </c>
      <c r="B24" s="177" t="n">
        <v>6</v>
      </c>
      <c r="C24" s="209" t="n"/>
      <c r="D24" s="211" t="inlineStr">
        <is>
          <t>BOLSAS DE KLAUKOL</t>
        </is>
      </c>
      <c r="E24" s="212">
        <f>ROUNDUP( $E$16 * ($E$10* 0.09) / 30 , 0 )</f>
        <v/>
      </c>
      <c r="J24" s="139" t="n"/>
      <c r="K24" s="139" t="n"/>
      <c r="P24" s="150" t="inlineStr">
        <is>
          <t>C</t>
        </is>
      </c>
      <c r="Q24" s="150" t="inlineStr">
        <is>
          <t>l</t>
        </is>
      </c>
      <c r="R24" s="213" t="n"/>
      <c r="S24" s="128" t="n"/>
      <c r="T24" s="128" t="n"/>
      <c r="U24" s="128" t="n"/>
      <c r="V24" s="128" t="n"/>
      <c r="W24" s="128" t="n"/>
      <c r="X24" s="214" t="n"/>
      <c r="Y24" s="150" t="inlineStr">
        <is>
          <t>l</t>
        </is>
      </c>
      <c r="Z24" s="150" t="inlineStr">
        <is>
          <t>C</t>
        </is>
      </c>
    </row>
    <row r="25" ht="12.8" customHeight="1" s="130">
      <c r="A25" s="169" t="inlineStr">
        <is>
          <t>LLAVE ESFERICA</t>
        </is>
      </c>
      <c r="B25" s="177" t="n">
        <v>6</v>
      </c>
      <c r="C25" s="209" t="n"/>
      <c r="D25" s="202" t="n"/>
      <c r="E25" s="204" t="n"/>
      <c r="J25" s="139" t="n"/>
      <c r="K25" s="139" t="n"/>
      <c r="P25" s="150" t="inlineStr">
        <is>
          <t>C</t>
        </is>
      </c>
      <c r="Q25" s="150" t="inlineStr">
        <is>
          <t>l</t>
        </is>
      </c>
      <c r="R25" s="213" t="n"/>
      <c r="S25" s="128" t="n"/>
      <c r="T25" s="128" t="n"/>
      <c r="U25" s="128" t="n"/>
      <c r="V25" s="128" t="n"/>
      <c r="W25" s="128" t="n"/>
      <c r="X25" s="214" t="n"/>
      <c r="Y25" s="150" t="inlineStr">
        <is>
          <t>l</t>
        </is>
      </c>
      <c r="Z25" s="150" t="inlineStr">
        <is>
          <t>C</t>
        </is>
      </c>
    </row>
    <row r="26" ht="9.300000000000001" customHeight="1" s="130">
      <c r="A26" s="169" t="inlineStr">
        <is>
          <t>CAÑO 40MM</t>
        </is>
      </c>
      <c r="B26" s="177" t="n">
        <v>14</v>
      </c>
      <c r="C26" s="209" t="n"/>
      <c r="D26" s="202" t="inlineStr">
        <is>
          <t>m² de primer anillo perimetral</t>
        </is>
      </c>
      <c r="E26" s="210">
        <f>( ($A$2/1000 + 2*IF($D$2="LOMO",0.4,0.48)) *    ($B$2/1000 + 2*IF($D$2="LOMO",0.4,0.48))    - ($A$2/1000)*($B$2/1000) )  - IF($D$2="LOMO", 4*POWER($M$5/1000,2), 0)</f>
        <v/>
      </c>
      <c r="J26" s="139" t="n"/>
      <c r="K26" s="139" t="n"/>
      <c r="L26" s="139" t="n"/>
      <c r="P26" s="150" t="inlineStr">
        <is>
          <t>C</t>
        </is>
      </c>
      <c r="Q26" s="150" t="inlineStr">
        <is>
          <t>l</t>
        </is>
      </c>
      <c r="R26" s="139" t="n"/>
      <c r="S26" s="139" t="n"/>
      <c r="T26" s="139" t="n"/>
      <c r="U26" s="139" t="n"/>
      <c r="V26" s="139" t="n"/>
      <c r="W26" s="139" t="n"/>
      <c r="X26" s="139" t="n"/>
      <c r="Y26" s="150" t="inlineStr">
        <is>
          <t>l</t>
        </is>
      </c>
      <c r="Z26" s="150" t="inlineStr">
        <is>
          <t>C</t>
        </is>
      </c>
    </row>
    <row r="27" ht="16.9" customHeight="1" s="130">
      <c r="A27" s="169" t="inlineStr">
        <is>
          <t>PEGAMENTO x 1kg</t>
        </is>
      </c>
      <c r="B27" s="177" t="n">
        <v>2</v>
      </c>
      <c r="C27" s="209" t="n"/>
      <c r="D27" s="202" t="inlineStr">
        <is>
          <t>MANO DE OBRA CHINO (BASE)</t>
        </is>
      </c>
      <c r="E27" s="215">
        <f>$K$8*$E$26</f>
        <v/>
      </c>
      <c r="J27" s="139" t="n"/>
      <c r="K27" s="139" t="n"/>
      <c r="L27" s="139" t="n"/>
      <c r="P27" s="150" t="inlineStr">
        <is>
          <t>C</t>
        </is>
      </c>
      <c r="Q27" s="150" t="inlineStr">
        <is>
          <t>l</t>
        </is>
      </c>
      <c r="R27" s="139" t="n"/>
      <c r="S27" s="139" t="n"/>
      <c r="T27" s="139" t="n"/>
      <c r="U27" s="139" t="n"/>
      <c r="V27" s="139" t="n"/>
      <c r="W27" s="139" t="n"/>
      <c r="X27" s="139" t="n"/>
      <c r="Y27" s="150" t="inlineStr">
        <is>
          <t>l</t>
        </is>
      </c>
      <c r="Z27" s="150" t="inlineStr">
        <is>
          <t>C</t>
        </is>
      </c>
    </row>
    <row r="28" ht="12.8" customHeight="1" s="130">
      <c r="A28" s="169" t="inlineStr">
        <is>
          <t>GEOTEXTIL O GEOMEMBRANA 400MICRONES X METRO</t>
        </is>
      </c>
      <c r="B28" s="177" t="n">
        <v>8</v>
      </c>
      <c r="C28" s="209" t="n"/>
      <c r="D28" s="216" t="inlineStr">
        <is>
          <t>MANO DE OBRA CHINO (EXTRA)</t>
        </is>
      </c>
      <c r="E28" s="217">
        <f>$K$9-$E$27</f>
        <v/>
      </c>
      <c r="J28" s="139" t="n"/>
      <c r="K28" s="139" t="n"/>
      <c r="L28" s="139" t="n"/>
      <c r="P28" s="150" t="inlineStr">
        <is>
          <t>C</t>
        </is>
      </c>
      <c r="Q28" s="150" t="inlineStr">
        <is>
          <t>l</t>
        </is>
      </c>
      <c r="R28" s="139" t="n"/>
      <c r="S28" s="139" t="n"/>
      <c r="T28" s="139" t="n"/>
      <c r="U28" s="139" t="n"/>
      <c r="V28" s="139" t="n"/>
      <c r="W28" s="139" t="n"/>
      <c r="X28" s="139" t="n"/>
      <c r="Y28" s="150" t="inlineStr">
        <is>
          <t>l</t>
        </is>
      </c>
      <c r="Z28" s="150" t="inlineStr">
        <is>
          <t>C</t>
        </is>
      </c>
    </row>
    <row r="29" ht="12.8" customHeight="1" s="130">
      <c r="A29" s="169" t="inlineStr">
        <is>
          <t>CAÑO AZUL 25MM X METRO</t>
        </is>
      </c>
      <c r="B29" s="177" t="n">
        <v>30</v>
      </c>
      <c r="C29" s="209" t="n"/>
      <c r="D29" s="139" t="n"/>
      <c r="J29" s="139" t="n"/>
      <c r="K29" s="139" t="n"/>
      <c r="L29" s="139" t="n"/>
      <c r="P29" s="150" t="inlineStr">
        <is>
          <t>C</t>
        </is>
      </c>
      <c r="Q29" s="150" t="inlineStr">
        <is>
          <t>l</t>
        </is>
      </c>
      <c r="R29" s="139" t="n"/>
      <c r="S29" s="139" t="n"/>
      <c r="T29" s="139" t="n"/>
      <c r="U29" s="139" t="n"/>
      <c r="V29" s="139" t="n"/>
      <c r="W29" s="139" t="n"/>
      <c r="X29" s="139" t="n"/>
      <c r="Y29" s="150" t="inlineStr">
        <is>
          <t>l</t>
        </is>
      </c>
      <c r="Z29" s="150" t="inlineStr">
        <is>
          <t>C</t>
        </is>
      </c>
    </row>
    <row r="30" ht="12.8" customHeight="1" s="130">
      <c r="A30" s="169" t="inlineStr">
        <is>
          <t>CONECTORES PARA CORRUGADO DE 25MM</t>
        </is>
      </c>
      <c r="B30" s="177" t="n">
        <v>20</v>
      </c>
      <c r="C30" s="209" t="n"/>
      <c r="D30" s="139" t="n"/>
      <c r="J30" s="139" t="n"/>
      <c r="K30" s="139" t="n"/>
      <c r="P30" s="149" t="inlineStr">
        <is>
          <t>C</t>
        </is>
      </c>
      <c r="Q30" s="205" t="inlineStr">
        <is>
          <t>e</t>
        </is>
      </c>
      <c r="R30" s="150" t="inlineStr">
        <is>
          <t>l</t>
        </is>
      </c>
      <c r="S30" s="150" t="inlineStr">
        <is>
          <t>l</t>
        </is>
      </c>
      <c r="T30" s="150" t="inlineStr">
        <is>
          <t>l</t>
        </is>
      </c>
      <c r="U30" s="150" t="inlineStr">
        <is>
          <t>l</t>
        </is>
      </c>
      <c r="V30" s="150" t="inlineStr">
        <is>
          <t>l</t>
        </is>
      </c>
      <c r="W30" s="150" t="inlineStr">
        <is>
          <t>l</t>
        </is>
      </c>
      <c r="X30" s="150" t="inlineStr">
        <is>
          <t>l</t>
        </is>
      </c>
      <c r="Y30" s="205" t="inlineStr">
        <is>
          <t>e</t>
        </is>
      </c>
      <c r="Z30" s="149" t="inlineStr">
        <is>
          <t>C</t>
        </is>
      </c>
    </row>
    <row r="31" ht="12.8" customHeight="1" s="130">
      <c r="D31" s="139" t="n"/>
      <c r="J31" s="139" t="n"/>
      <c r="K31" s="139" t="n"/>
      <c r="L31" s="139" t="n"/>
      <c r="M31" s="139" t="n"/>
      <c r="O31" s="186" t="n"/>
      <c r="P31" s="149" t="n"/>
      <c r="Q31" s="149" t="n"/>
      <c r="R31" s="150" t="n"/>
      <c r="S31" s="150" t="n"/>
      <c r="T31" s="150" t="n"/>
      <c r="U31" s="150" t="n"/>
      <c r="V31" s="150" t="n"/>
      <c r="W31" s="150" t="n"/>
      <c r="X31" s="150" t="n"/>
      <c r="Y31" s="149" t="n"/>
      <c r="Z31" s="149" t="n"/>
    </row>
    <row r="32" ht="12.8" customHeight="1" s="130">
      <c r="D32" s="139" t="n"/>
      <c r="J32" s="139" t="n"/>
      <c r="K32" s="139" t="n"/>
      <c r="L32" s="139" t="n"/>
      <c r="M32" s="139" t="n"/>
      <c r="O32" s="186" t="n"/>
      <c r="P32" s="149" t="n"/>
      <c r="Q32" s="149" t="n"/>
      <c r="R32" s="150" t="n"/>
      <c r="S32" s="150" t="n"/>
      <c r="T32" s="150" t="n"/>
      <c r="U32" s="150" t="n"/>
      <c r="V32" s="150" t="n"/>
      <c r="W32" s="150" t="n"/>
      <c r="X32" s="150" t="n"/>
      <c r="Y32" s="149" t="n"/>
      <c r="Z32" s="149" t="n"/>
    </row>
    <row r="33" ht="12.8" customHeight="1" s="130">
      <c r="A33" s="126">
        <f>_xlfn.CONCAT("Total arena"," ", D12," ,",A12)</f>
        <v/>
      </c>
      <c r="B33" s="187">
        <f>_xlfn.CONCAT(ROUNDUP($B$15+$B$18+$E$19,0)," m³")</f>
        <v/>
      </c>
      <c r="C33" s="188" t="n"/>
      <c r="D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49" t="n"/>
      <c r="Q33" s="149" t="n"/>
      <c r="R33" s="150" t="n"/>
      <c r="S33" s="150" t="n"/>
      <c r="T33" s="150" t="n"/>
      <c r="U33" s="150" t="n"/>
      <c r="V33" s="150" t="n"/>
      <c r="W33" s="150" t="n"/>
      <c r="X33" s="150" t="n"/>
      <c r="Y33" s="149" t="n"/>
      <c r="Z33" s="149" t="n"/>
    </row>
    <row r="34" ht="12.8" customHeight="1" s="130">
      <c r="A34" s="126" t="inlineStr">
        <is>
          <t>MIXTO M3</t>
        </is>
      </c>
      <c r="B34" s="189">
        <f>_xlfn.CONCAT(ROUNDUP($B$16+$E$26,0)," m³")</f>
        <v/>
      </c>
      <c r="C34" s="190" t="n"/>
      <c r="D34" s="139" t="n"/>
      <c r="J34" s="139" t="n"/>
      <c r="K34" s="139" t="n"/>
      <c r="L34" s="139" t="n"/>
      <c r="M34" s="139" t="n"/>
      <c r="N34" s="139" t="n"/>
      <c r="O34" s="186" t="n"/>
      <c r="P34" s="149" t="n"/>
      <c r="Q34" s="149" t="n"/>
      <c r="R34" s="150" t="n"/>
      <c r="S34" s="150" t="n"/>
      <c r="T34" s="150" t="n"/>
      <c r="U34" s="150" t="n"/>
      <c r="V34" s="150" t="n"/>
      <c r="W34" s="150" t="n"/>
      <c r="X34" s="150" t="n"/>
      <c r="Y34" s="149" t="n"/>
      <c r="Z34" s="149" t="n"/>
    </row>
    <row r="35" ht="12.8" customHeight="1" s="130">
      <c r="A35" s="139" t="n"/>
      <c r="B35" s="139" t="n"/>
      <c r="C35" s="196" t="n"/>
      <c r="E35" s="139" t="n"/>
      <c r="F35" s="139" t="n"/>
      <c r="G35" s="139" t="n"/>
      <c r="H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39" t="n"/>
      <c r="B36" s="139" t="n"/>
      <c r="C36" s="196" t="n"/>
      <c r="E36" s="139" t="n"/>
      <c r="F36" s="139" t="n"/>
      <c r="G36" s="139" t="n"/>
      <c r="H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39" t="n"/>
      <c r="B37" s="139" t="n"/>
      <c r="C37" s="196" t="n"/>
      <c r="E37" s="139" t="n"/>
      <c r="F37" s="139" t="n"/>
      <c r="G37" s="139" t="n"/>
      <c r="H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39" t="n"/>
      <c r="B38" s="139" t="n"/>
      <c r="C38" s="196" t="n"/>
      <c r="D38" s="218" t="n"/>
      <c r="E38" s="139" t="n"/>
      <c r="F38" s="139" t="n"/>
      <c r="G38" s="139" t="n"/>
      <c r="H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39" t="n"/>
      <c r="B39" s="139" t="n"/>
      <c r="C39" s="196" t="n"/>
      <c r="D39" s="218" t="n"/>
      <c r="E39" s="139" t="n"/>
      <c r="F39" s="139" t="n"/>
      <c r="G39" s="139" t="n"/>
      <c r="H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39" t="n"/>
      <c r="B40" s="139" t="n"/>
      <c r="C40" s="196" t="n"/>
      <c r="E40" s="139" t="n"/>
      <c r="F40" s="139" t="n"/>
      <c r="G40" s="139" t="n"/>
      <c r="H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39" t="n"/>
      <c r="B41" s="139" t="n"/>
      <c r="C41" s="196" t="n"/>
      <c r="E41" s="139" t="n"/>
      <c r="F41" s="139" t="n"/>
      <c r="G41" s="139" t="n"/>
      <c r="H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39" t="n"/>
      <c r="B42" s="139" t="n"/>
      <c r="C42" s="196" t="n"/>
      <c r="E42" s="139" t="n"/>
      <c r="F42" s="139" t="n"/>
      <c r="G42" s="139" t="n"/>
      <c r="H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39" t="n"/>
      <c r="B43" s="139" t="n"/>
      <c r="C43" s="196" t="n"/>
      <c r="H43" s="21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39" t="n"/>
      <c r="B44" s="139" t="n"/>
      <c r="C44" s="196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39" t="n"/>
      <c r="B45" s="139" t="n"/>
      <c r="C45" s="196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39" t="n"/>
      <c r="B46" s="139" t="n"/>
      <c r="C46" s="196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39" t="n"/>
      <c r="B47" s="139" t="n"/>
      <c r="C47" s="196" t="n"/>
      <c r="K47" s="139" t="n"/>
      <c r="L47" s="139" t="n"/>
      <c r="M47" s="139" t="n"/>
      <c r="N47" s="139" t="n"/>
    </row>
    <row r="48" ht="12.8" customHeight="1" s="130">
      <c r="A48" s="139" t="n"/>
      <c r="B48" s="139" t="n"/>
      <c r="C48" s="196" t="n"/>
      <c r="J48" s="139" t="n"/>
      <c r="K48" s="139" t="n"/>
      <c r="L48" s="139" t="n"/>
      <c r="M48" s="139" t="n"/>
      <c r="N48" s="139" t="n"/>
    </row>
    <row r="49" ht="12.8" customHeight="1" s="130">
      <c r="J49" s="139" t="n"/>
      <c r="K49" s="139" t="n"/>
      <c r="L49" s="139" t="n"/>
      <c r="M49" s="139" t="n"/>
      <c r="N49" s="139" t="n"/>
    </row>
    <row r="50" ht="12.8" customHeight="1" s="130">
      <c r="J50" s="139" t="n"/>
      <c r="K50" s="139" t="n"/>
      <c r="L50" s="139" t="n"/>
      <c r="M50" s="139" t="n"/>
    </row>
    <row r="51" ht="12.8" customHeight="1" s="130">
      <c r="J51" s="139" t="n"/>
      <c r="K51" s="139" t="n"/>
      <c r="L51" s="139" t="n"/>
      <c r="M51" s="139" t="n"/>
    </row>
    <row r="52" ht="12.8" customHeight="1" s="130">
      <c r="J52" s="139" t="n"/>
      <c r="K52" s="139" t="n"/>
      <c r="L52" s="139" t="n"/>
      <c r="M52" s="139" t="n"/>
    </row>
    <row r="53" ht="12.8" customHeight="1" s="130">
      <c r="J53" s="139" t="n"/>
      <c r="K53" s="139" t="n"/>
      <c r="L53" s="139" t="n"/>
      <c r="M53" s="139" t="n"/>
    </row>
    <row r="54" ht="12.8" customHeight="1" s="130">
      <c r="J54" s="139" t="n"/>
      <c r="K54" s="139" t="n"/>
      <c r="L54" s="139" t="n"/>
      <c r="M54" s="139" t="n"/>
    </row>
    <row r="55" ht="12.8" customHeight="1" s="130">
      <c r="M55" s="220" t="n"/>
    </row>
  </sheetData>
  <mergeCells count="2">
    <mergeCell ref="D12:E12"/>
    <mergeCell ref="A12:B12"/>
  </mergeCells>
  <dataValidations count="1">
    <dataValidation sqref="D2 K2" showDropDown="0" showInputMessage="0" showErrorMessage="1" allowBlank="1" errorStyle="stop" operator="equal">
      <formula1>0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00CED1"/>
    <outlinePr summaryBelow="1" summaryRight="1"/>
    <pageSetUpPr fitToPage="0"/>
  </sheetPr>
  <dimension ref="B2:J61"/>
  <sheetViews>
    <sheetView showFormulas="0" showGridLines="1" showRowColHeaders="1" showZeros="1" rightToLeft="0" tabSelected="0" showOutlineSymbols="1" defaultGridColor="1" view="normal" topLeftCell="A38" colorId="64" zoomScale="113" zoomScaleNormal="113" zoomScalePageLayoutView="100" workbookViewId="0">
      <selection pane="topLeft" activeCell="E36" activeCellId="0" sqref="E36"/>
    </sheetView>
  </sheetViews>
  <sheetFormatPr baseColWidth="8" defaultColWidth="10.59765625" defaultRowHeight="12.8" customHeight="1" zeroHeight="0" outlineLevelRow="0"/>
  <cols>
    <col width="31.72" customWidth="1" style="139" min="2" max="2"/>
    <col width="12.57" customWidth="1" style="139" min="3" max="4"/>
    <col width="12.57" customWidth="1" style="221" min="5" max="5"/>
    <col width="15.48" customWidth="1" style="139" min="9" max="9"/>
    <col width="15.36" customWidth="1" style="139" min="10" max="10"/>
    <col width="13.39" customWidth="1" style="139" min="13" max="13"/>
    <col width="12.54" customWidth="1" style="139" min="14" max="14"/>
    <col width="10.94" customWidth="1" style="139" min="15" max="15"/>
    <col width="11.44" customWidth="1" style="139" min="16" max="16"/>
    <col width="11.31" customWidth="1" style="139" min="17" max="17"/>
    <col width="16.46" customWidth="1" style="139" min="18" max="18"/>
    <col width="11.44" customWidth="1" style="139" min="19" max="19"/>
  </cols>
  <sheetData>
    <row r="1" ht="13.8" customHeight="1" s="130"/>
    <row r="2" ht="13.8" customHeight="1" s="130">
      <c r="B2" s="222" t="inlineStr">
        <is>
          <t>Materiales instalacion</t>
        </is>
      </c>
      <c r="C2" s="222" t="n"/>
      <c r="D2" s="222" t="n"/>
    </row>
    <row r="3" ht="13.8" customHeight="1" s="130">
      <c r="B3" s="222" t="n"/>
      <c r="C3" s="222" t="n"/>
      <c r="D3" s="222" t="n"/>
    </row>
    <row r="4" ht="13.8" customHeight="1" s="130">
      <c r="B4" s="223" t="inlineStr">
        <is>
          <t xml:space="preserve">Fecha </t>
        </is>
      </c>
      <c r="C4" s="224" t="n">
        <v>45950</v>
      </c>
    </row>
    <row r="5" ht="13.8" customHeight="1" s="130">
      <c r="B5" s="223" t="inlineStr">
        <is>
          <t>Cliente</t>
        </is>
      </c>
      <c r="C5" s="139" t="inlineStr">
        <is>
          <t>Ines y Pablo</t>
        </is>
      </c>
    </row>
    <row r="6" ht="13.8" customHeight="1" s="130">
      <c r="B6" s="223" t="inlineStr">
        <is>
          <t>Domicilio</t>
        </is>
      </c>
      <c r="C6" s="139" t="inlineStr">
        <is>
          <t>Solana al fondo</t>
        </is>
      </c>
    </row>
    <row r="7" ht="13.8" customHeight="1" s="130">
      <c r="B7" s="223" t="inlineStr">
        <is>
          <t>Piscina</t>
        </is>
      </c>
      <c r="C7" s="139" t="inlineStr">
        <is>
          <t>TURQUESA (6,5×3,1 m x 1.3 a 1.6 metros de profundidad o profundidad variable)</t>
        </is>
      </c>
    </row>
    <row r="8" ht="13.8" customHeight="1" s="130"/>
    <row r="9" ht="16.3" customHeight="1" s="130">
      <c r="B9" s="225" t="inlineStr">
        <is>
          <t>Materiales / Consumible</t>
        </is>
      </c>
      <c r="C9" s="225" t="inlineStr">
        <is>
          <t>Marca</t>
        </is>
      </c>
      <c r="D9" s="225" t="inlineStr">
        <is>
          <t>Medidas</t>
        </is>
      </c>
      <c r="E9" s="226" t="inlineStr">
        <is>
          <t>Cantidad</t>
        </is>
      </c>
    </row>
    <row r="10" ht="13.8" customHeight="1" s="130"/>
    <row r="11" ht="13.8" customHeight="1" s="130">
      <c r="B11" s="227" t="inlineStr">
        <is>
          <t>Jesús Olguin</t>
        </is>
      </c>
      <c r="C11" s="228" t="n"/>
      <c r="D11" s="228" t="n"/>
      <c r="E11" s="229" t="n"/>
      <c r="G11" s="222" t="n"/>
    </row>
    <row r="12" ht="13.8" customHeight="1" s="130">
      <c r="B12" s="230" t="n"/>
      <c r="E12" s="231" t="n"/>
      <c r="G12" s="222" t="n"/>
      <c r="I12" s="232" t="n"/>
    </row>
    <row r="13" ht="13.8" customHeight="1" s="130">
      <c r="B13" s="233" t="inlineStr">
        <is>
          <t>Materiales de PVC - Medida 40 mm</t>
        </is>
      </c>
      <c r="E13" s="231" t="n"/>
      <c r="G13" s="222" t="n"/>
    </row>
    <row r="14" ht="13.8" customHeight="1" s="130">
      <c r="B14" s="234" t="inlineStr">
        <is>
          <t>Codo 90°</t>
        </is>
      </c>
      <c r="E14" s="231" t="n">
        <v>30</v>
      </c>
    </row>
    <row r="15" ht="13.8" customHeight="1" s="130">
      <c r="B15" s="234" t="inlineStr">
        <is>
          <t>Codo 45°</t>
        </is>
      </c>
      <c r="E15" s="231" t="n">
        <v>20</v>
      </c>
    </row>
    <row r="16" ht="13.8" customHeight="1" s="130">
      <c r="B16" s="234" t="inlineStr">
        <is>
          <t>Tee</t>
        </is>
      </c>
      <c r="E16" s="231" t="n">
        <v>10</v>
      </c>
    </row>
    <row r="17" ht="13.8" customHeight="1" s="130">
      <c r="B17" s="234" t="inlineStr">
        <is>
          <t>Válvula de corte (esférica)</t>
        </is>
      </c>
      <c r="E17" s="231" t="n">
        <v>8</v>
      </c>
    </row>
    <row r="18" ht="13.8" customHeight="1" s="130">
      <c r="B18" s="234" t="inlineStr">
        <is>
          <t>Caños PN10 x 6 m</t>
        </is>
      </c>
      <c r="E18" s="231" t="n">
        <v>14</v>
      </c>
    </row>
    <row r="19" ht="13.8" customHeight="1" s="130">
      <c r="B19" s="234" t="n"/>
      <c r="E19" s="231" t="n"/>
    </row>
    <row r="20" ht="13.8" customHeight="1" s="130">
      <c r="B20" s="234" t="n"/>
      <c r="E20" s="231" t="n"/>
    </row>
    <row r="21" ht="23.25" customHeight="1" s="130">
      <c r="B21" s="230" t="inlineStr">
        <is>
          <t xml:space="preserve">Adicionales </t>
        </is>
      </c>
      <c r="C21" s="222" t="n"/>
      <c r="D21" s="222" t="n"/>
      <c r="E21" s="231" t="n"/>
    </row>
    <row r="22" ht="13.8" customHeight="1" s="130">
      <c r="B22" s="234" t="inlineStr">
        <is>
          <t>Pegamento PVC azul (Tigre) x 500 ml</t>
        </is>
      </c>
      <c r="E22" s="231" t="n">
        <v>2</v>
      </c>
    </row>
    <row r="23" ht="13.8" customHeight="1" s="130">
      <c r="B23" s="234" t="inlineStr">
        <is>
          <t>Acetona x 1 Litro</t>
        </is>
      </c>
      <c r="E23" s="231" t="n">
        <v>1</v>
      </c>
    </row>
    <row r="24" ht="13.8" customHeight="1" s="130">
      <c r="B24" s="234" t="inlineStr">
        <is>
          <t>Cinta teflón 1 rollo ALTA DENSIDAD</t>
        </is>
      </c>
      <c r="E24" s="231" t="n">
        <v>2</v>
      </c>
    </row>
    <row r="25" ht="13.8" customHeight="1" s="130">
      <c r="B25" s="234" t="inlineStr">
        <is>
          <t>Pasta selladora 1 tubo</t>
        </is>
      </c>
      <c r="E25" s="231" t="n">
        <v>1</v>
      </c>
    </row>
    <row r="26" ht="13.8" customHeight="1" s="130">
      <c r="B26" s="234" t="inlineStr">
        <is>
          <t>Abrazaderas  mm</t>
        </is>
      </c>
      <c r="E26" s="231" t="n">
        <v>0</v>
      </c>
    </row>
    <row r="27" ht="13.8" customHeight="1" s="130">
      <c r="B27" s="234" t="n"/>
      <c r="E27" s="231" t="n"/>
    </row>
    <row r="28" ht="13.8" customHeight="1" s="130">
      <c r="B28" s="234" t="n"/>
      <c r="E28" s="231" t="n"/>
    </row>
    <row r="29" ht="13.8" customHeight="1" s="130">
      <c r="B29" s="233" t="inlineStr">
        <is>
          <t>Materiales construcción Instalacion</t>
        </is>
      </c>
      <c r="E29" s="235" t="n"/>
    </row>
    <row r="30" ht="13.8" customHeight="1" s="130">
      <c r="B30" s="234" t="inlineStr">
        <is>
          <t xml:space="preserve">Tanza roja </t>
        </is>
      </c>
      <c r="E30" s="231" t="inlineStr">
        <is>
          <t>-</t>
        </is>
      </c>
    </row>
    <row r="31" ht="13.8" customHeight="1" s="130">
      <c r="B31" s="234" t="inlineStr">
        <is>
          <t xml:space="preserve">Spray o tiza </t>
        </is>
      </c>
      <c r="E31" s="231" t="n">
        <v>1</v>
      </c>
    </row>
    <row r="32" ht="13.8" customHeight="1" s="130">
      <c r="B32" s="234" t="inlineStr">
        <is>
          <t>Estacas</t>
        </is>
      </c>
      <c r="E32" s="231" t="inlineStr">
        <is>
          <t>-</t>
        </is>
      </c>
    </row>
    <row r="33" ht="13.8" customHeight="1" s="130">
      <c r="B33" s="234" t="inlineStr">
        <is>
          <t>Nylon de 200 Geotextil x m</t>
        </is>
      </c>
      <c r="E33" s="231" t="inlineStr">
        <is>
          <t>-</t>
        </is>
      </c>
    </row>
    <row r="34" ht="13.8" customHeight="1" s="130">
      <c r="B34" s="234" t="inlineStr">
        <is>
          <t>Cemento 50 kg bolsas para la cama</t>
        </is>
      </c>
      <c r="E34" s="231" t="inlineStr">
        <is>
          <t>-</t>
        </is>
      </c>
    </row>
    <row r="35" ht="16.3" customHeight="1" s="130">
      <c r="B35" s="236" t="inlineStr">
        <is>
          <t xml:space="preserve">Malla sima 6 mm </t>
        </is>
      </c>
      <c r="C35" s="237" t="n"/>
      <c r="E35" s="238" t="n">
        <v>1</v>
      </c>
    </row>
    <row r="36" ht="46.25" customHeight="1" s="130">
      <c r="B36" s="236" t="inlineStr">
        <is>
          <t>Ladrillos cerámicos (para relleno )</t>
        </is>
      </c>
      <c r="C36" s="237" t="n"/>
      <c r="E36" s="239" t="inlineStr">
        <is>
          <t>Acordar con el albañil de ser necesario</t>
        </is>
      </c>
    </row>
    <row r="37" ht="16.3" customHeight="1" s="130">
      <c r="B37" s="236" t="inlineStr">
        <is>
          <t xml:space="preserve">Mixto para relleno </t>
        </is>
      </c>
      <c r="C37" s="237" t="inlineStr">
        <is>
          <t>m3</t>
        </is>
      </c>
      <c r="E37" s="238" t="n">
        <v>3</v>
      </c>
    </row>
    <row r="38" ht="16.3" customHeight="1" s="130">
      <c r="B38" s="236" t="inlineStr">
        <is>
          <t>Mixto para la cama</t>
        </is>
      </c>
      <c r="C38" s="237" t="inlineStr">
        <is>
          <t>m3</t>
        </is>
      </c>
      <c r="E38" s="238" t="n">
        <v>1</v>
      </c>
    </row>
    <row r="39" ht="16.3" customHeight="1" s="130">
      <c r="B39" s="234" t="inlineStr">
        <is>
          <t xml:space="preserve">Arena Gruesa m3 </t>
        </is>
      </c>
      <c r="C39" s="237" t="inlineStr">
        <is>
          <t>m3</t>
        </is>
      </c>
      <c r="E39" s="231" t="n">
        <v>3</v>
      </c>
    </row>
    <row r="40" ht="16.3" customHeight="1" s="130">
      <c r="B40" s="240" t="inlineStr">
        <is>
          <t>Arena para tapado de piscina</t>
        </is>
      </c>
      <c r="C40" s="241" t="inlineStr">
        <is>
          <t>m3</t>
        </is>
      </c>
      <c r="D40" s="242" t="n"/>
      <c r="E40" s="243" t="n">
        <v>2</v>
      </c>
    </row>
    <row r="41" ht="13.8" customHeight="1" s="130"/>
    <row r="42" ht="13.8" customHeight="1" s="130"/>
    <row r="43" ht="13.8" customHeight="1" s="130"/>
    <row r="44" ht="13.8" customHeight="1" s="130">
      <c r="B44" s="139" t="n"/>
      <c r="C44" s="139" t="n"/>
      <c r="D44" s="139" t="n"/>
      <c r="E44" s="221" t="n"/>
    </row>
    <row r="45" ht="13.8" customHeight="1" s="130">
      <c r="B45" s="227" t="inlineStr">
        <is>
          <t>Chino Peralta</t>
        </is>
      </c>
      <c r="C45" s="228" t="n"/>
      <c r="D45" s="228" t="n"/>
      <c r="E45" s="229" t="n"/>
    </row>
    <row r="46" ht="13.8" customHeight="1" s="130">
      <c r="B46" s="230" t="n"/>
      <c r="E46" s="231" t="n"/>
    </row>
    <row r="47" ht="13.8" customHeight="1" s="130">
      <c r="B47" s="233" t="inlineStr">
        <is>
          <t>Materiales construcción contrapiso y losetas</t>
        </is>
      </c>
      <c r="C47" s="222" t="n"/>
      <c r="E47" s="235" t="n"/>
    </row>
    <row r="48" ht="13.8" customHeight="1" s="130">
      <c r="B48" s="234" t="inlineStr">
        <is>
          <t xml:space="preserve">Tanza roja </t>
        </is>
      </c>
      <c r="E48" s="231" t="n">
        <v>1</v>
      </c>
    </row>
    <row r="49" ht="13.8" customHeight="1" s="130">
      <c r="B49" s="234" t="inlineStr">
        <is>
          <t xml:space="preserve">Spray o tiza </t>
        </is>
      </c>
      <c r="E49" s="231" t="n">
        <v>1</v>
      </c>
    </row>
    <row r="50" ht="13.8" customHeight="1" s="130">
      <c r="B50" s="234" t="inlineStr">
        <is>
          <t>Estacas</t>
        </is>
      </c>
      <c r="E50" s="231" t="n">
        <v>4</v>
      </c>
    </row>
    <row r="51" ht="13.8" customHeight="1" s="130">
      <c r="B51" s="234" t="inlineStr">
        <is>
          <t>Nylon de 200 micr o Geotextil x m</t>
        </is>
      </c>
      <c r="E51" s="231" t="n">
        <v>8</v>
      </c>
    </row>
    <row r="52" ht="13.8" customHeight="1" s="130">
      <c r="B52" s="234" t="inlineStr">
        <is>
          <t>Cemento 50 kg bolsas instalacion</t>
        </is>
      </c>
      <c r="E52" s="231" t="n">
        <v>8</v>
      </c>
    </row>
    <row r="53" ht="13.8" customHeight="1" s="130">
      <c r="B53" s="234" t="inlineStr">
        <is>
          <t>Cemento 50 kg bolsas loza</t>
        </is>
      </c>
      <c r="E53" s="231" t="n">
        <v>38</v>
      </c>
    </row>
    <row r="54" ht="16.3" customHeight="1" s="130">
      <c r="B54" s="236" t="inlineStr">
        <is>
          <t xml:space="preserve">Pegamento losetas Klaukol </t>
        </is>
      </c>
      <c r="C54" s="237" t="n"/>
      <c r="E54" s="238" t="n">
        <v>6</v>
      </c>
    </row>
    <row r="55" ht="16.3" customHeight="1" s="130">
      <c r="B55" s="236" t="inlineStr">
        <is>
          <t xml:space="preserve">Malla sima 6 mm </t>
        </is>
      </c>
      <c r="C55" s="237" t="n"/>
      <c r="E55" s="244" t="n">
        <v>4</v>
      </c>
    </row>
    <row r="56" ht="16.3" customHeight="1" s="130">
      <c r="B56" s="236" t="inlineStr">
        <is>
          <t>Alambre liso de atar x KG</t>
        </is>
      </c>
      <c r="C56" s="237" t="n"/>
      <c r="E56" s="238" t="n">
        <v>1</v>
      </c>
    </row>
    <row r="57" ht="46.25" customHeight="1" s="130">
      <c r="B57" s="236" t="inlineStr">
        <is>
          <t>Ladrillos cerámicos (para relleno )</t>
        </is>
      </c>
      <c r="C57" s="237" t="n"/>
      <c r="E57" s="239" t="inlineStr">
        <is>
          <t>Acordar con el albañil de ser necesario</t>
        </is>
      </c>
    </row>
    <row r="58" ht="13.8" customHeight="1" s="130">
      <c r="B58" s="236" t="n"/>
      <c r="C58" s="237" t="n"/>
      <c r="E58" s="238" t="n"/>
    </row>
    <row r="59" ht="31.3" customHeight="1" s="130">
      <c r="B59" s="236" t="inlineStr">
        <is>
          <t>Mixto para CONTRAPISO DE VEREDAS</t>
        </is>
      </c>
      <c r="C59" s="237" t="inlineStr">
        <is>
          <t>m3</t>
        </is>
      </c>
      <c r="E59" s="238" t="n">
        <v>3</v>
      </c>
    </row>
    <row r="60" ht="13.8" customHeight="1" s="130">
      <c r="B60" s="234" t="n"/>
      <c r="C60" s="237" t="n"/>
      <c r="E60" s="231" t="n"/>
    </row>
    <row r="61" ht="16.3" customHeight="1" s="130">
      <c r="B61" s="240" t="inlineStr">
        <is>
          <t>Arena para CONTRAPISO m3</t>
        </is>
      </c>
      <c r="C61" s="241" t="inlineStr">
        <is>
          <t>m3</t>
        </is>
      </c>
      <c r="D61" s="242" t="n"/>
      <c r="E61" s="243" t="n">
        <v>3</v>
      </c>
    </row>
  </sheetData>
  <mergeCells count="1">
    <mergeCell ref="I12:J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55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2025-10-25</t>
        </is>
      </c>
    </row>
    <row r="5">
      <c r="B5" s="246" t="inlineStr">
        <is>
          <t>Cliente</t>
        </is>
      </c>
      <c r="C5" s="139" t="inlineStr">
        <is>
          <t>Luis Figueroa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Citrino (5×2.5 m x 1.3 a 1.3 metros de profundidad)</t>
        </is>
      </c>
    </row>
    <row r="8">
      <c r="B8" s="246" t="inlineStr">
        <is>
          <t>Volumen</t>
        </is>
      </c>
      <c r="C8" s="139" t="inlineStr">
        <is>
          <t>8.48 m³ / Espejo de agua: 7.07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5.3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2.8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1.4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20.776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7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1.25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kg</t>
        </is>
      </c>
      <c r="E26" s="139" t="n">
        <v>0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inlineStr">
        <is>
          <t>0.00</t>
        </is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inlineStr">
        <is>
          <t>0.00</t>
        </is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0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18 W</t>
        </is>
      </c>
    </row>
    <row r="38">
      <c r="B38" s="139" t="inlineStr">
        <is>
          <t>Amperaje</t>
        </is>
      </c>
      <c r="E38" s="139" t="inlineStr">
        <is>
          <t>0.1 A</t>
        </is>
      </c>
    </row>
    <row r="40">
      <c r="B40" s="247" t="inlineStr">
        <is>
          <t>MANO DE OBRA</t>
        </is>
      </c>
    </row>
    <row r="41">
      <c r="B41" s="246" t="inlineStr">
        <is>
          <t>Rol</t>
        </is>
      </c>
      <c r="C41" s="246" t="inlineStr">
        <is>
          <t>Tareas</t>
        </is>
      </c>
      <c r="D41" s="246" t="inlineStr">
        <is>
          <t>Horas</t>
        </is>
      </c>
      <c r="E41" s="246" t="inlineStr">
        <is>
          <t>Costo</t>
        </is>
      </c>
    </row>
    <row r="42">
      <c r="B42" s="139" t="inlineStr">
        <is>
          <t>Sanitarista</t>
        </is>
      </c>
      <c r="C42" s="139" t="n">
        <v>1</v>
      </c>
      <c r="D42" s="139" t="n">
        <v>8</v>
      </c>
      <c r="E42" s="139" t="inlineStr">
        <is>
          <t>$0.00</t>
        </is>
      </c>
    </row>
    <row r="43">
      <c r="B43" s="139" t="inlineStr">
        <is>
          <t>Excavador</t>
        </is>
      </c>
      <c r="C43" s="139" t="n">
        <v>1</v>
      </c>
      <c r="D43" s="139" t="n">
        <v>18.5</v>
      </c>
      <c r="E43" s="139" t="inlineStr">
        <is>
          <t>$500,000.00</t>
        </is>
      </c>
    </row>
    <row r="44">
      <c r="B44" s="246" t="inlineStr">
        <is>
          <t>TOTAL MANO DE OBRA</t>
        </is>
      </c>
      <c r="E44" s="246" t="inlineStr">
        <is>
          <t>$500,000.00</t>
        </is>
      </c>
    </row>
    <row r="46">
      <c r="B46" s="247" t="inlineStr">
        <is>
          <t>SECUENCIA DE TRABAJO</t>
        </is>
      </c>
    </row>
    <row r="47">
      <c r="B47" s="139" t="inlineStr">
        <is>
          <t>1. Marcado y replanteo del terreno</t>
        </is>
      </c>
    </row>
    <row r="48">
      <c r="B48" s="139" t="inlineStr">
        <is>
          <t>2. Excavación según dimensiones especificadas</t>
        </is>
      </c>
    </row>
    <row r="49">
      <c r="B49" s="139" t="inlineStr">
        <is>
          <t>3. Preparación de cama de apoyo</t>
        </is>
      </c>
    </row>
    <row r="50">
      <c r="B50" s="139" t="inlineStr">
        <is>
          <t>4. Instalación de la piscina</t>
        </is>
      </c>
    </row>
    <row r="51">
      <c r="B51" s="139" t="inlineStr">
        <is>
          <t>5. Instalación hidráulica (plomería)</t>
        </is>
      </c>
    </row>
    <row r="52">
      <c r="B52" s="139" t="inlineStr">
        <is>
          <t>6. Instalación eléctrica y equipos</t>
        </is>
      </c>
    </row>
    <row r="53">
      <c r="B53" s="139" t="inlineStr">
        <is>
          <t>7. Relleno y compactación</t>
        </is>
      </c>
    </row>
    <row r="54">
      <c r="B54" s="139" t="inlineStr">
        <is>
          <t>8. Construcción de vereda perimetral</t>
        </is>
      </c>
    </row>
    <row r="55">
      <c r="B55" s="139" t="inlineStr">
        <is>
          <t>9. Pruebas de funcionamiento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3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2025-10-25</t>
        </is>
      </c>
    </row>
    <row r="5">
      <c r="B5" s="246" t="inlineStr">
        <is>
          <t>Cliente</t>
        </is>
      </c>
      <c r="C5" s="139" t="inlineStr">
        <is>
          <t>Test Cliente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Test Pool (8×4 m x 1.2 a 1.8 metros de profundidad)</t>
        </is>
      </c>
    </row>
    <row r="8">
      <c r="B8" s="246" t="inlineStr">
        <is>
          <t>Volumen</t>
        </is>
      </c>
      <c r="C8" s="139" t="inlineStr">
        <is>
          <t>50.00 m³ / Espejo de agua: 32.00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9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5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2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90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</t>
        </is>
      </c>
      <c r="E21" s="139" t="n">
        <v>10</v>
      </c>
    </row>
    <row r="22">
      <c r="B22" s="139" t="inlineStr">
        <is>
          <t>Arena gruesa</t>
        </is>
      </c>
      <c r="D22" s="139" t="inlineStr">
        <is>
          <t>m³</t>
        </is>
      </c>
      <c r="E22" s="139" t="n">
        <v>2</v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1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kg</t>
        </is>
      </c>
      <c r="E26" s="139" t="n">
        <v>50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n">
        <v>1</v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n">
        <v>1</v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10</v>
      </c>
    </row>
    <row r="31">
      <c r="B31" s="247" t="inlineStr">
        <is>
          <t>PLOMERÍA Y MATERIALES PVC</t>
        </is>
      </c>
    </row>
    <row r="32">
      <c r="B32" s="139" t="inlineStr">
        <is>
          <t>Caño PVC 40mm</t>
        </is>
      </c>
      <c r="C32" s="139" t="inlineStr">
        <is>
          <t>40mm</t>
        </is>
      </c>
      <c r="D32" s="139" t="inlineStr">
        <is>
          <t>PVC</t>
        </is>
      </c>
      <c r="E32" s="139" t="n">
        <v>10</v>
      </c>
      <c r="F32" s="139" t="inlineStr">
        <is>
          <t>Para impulsión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1.5HP</t>
        </is>
      </c>
      <c r="E35" s="139" t="n">
        <v>1</v>
      </c>
      <c r="F35" s="139" t="inlineStr">
        <is>
          <t>Marca Peabody</t>
        </is>
      </c>
    </row>
    <row r="36">
      <c r="B36" s="139" t="inlineStr">
        <is>
          <t>Filtro</t>
        </is>
      </c>
      <c r="C36" s="139" t="inlineStr">
        <is>
          <t>500mm</t>
        </is>
      </c>
      <c r="E36" s="139" t="n">
        <v>1</v>
      </c>
      <c r="F36" s="139" t="inlineStr">
        <is>
          <t>Filtro de arena</t>
        </is>
      </c>
    </row>
    <row r="37">
      <c r="B37" s="139" t="inlineStr">
        <is>
          <t>Consumo total</t>
        </is>
      </c>
      <c r="E37" s="139" t="inlineStr">
        <is>
          <t>1500 W</t>
        </is>
      </c>
    </row>
    <row r="38">
      <c r="B38" s="139" t="inlineStr">
        <is>
          <t>Amperaje</t>
        </is>
      </c>
      <c r="E38" s="139" t="inlineStr">
        <is>
          <t>6.8 A</t>
        </is>
      </c>
    </row>
    <row r="39">
      <c r="B39" s="246" t="inlineStr">
        <is>
          <t>Desglose de consumo:</t>
        </is>
      </c>
    </row>
    <row r="40">
      <c r="B40" s="139" t="inlineStr">
        <is>
          <t xml:space="preserve">  Bomba</t>
        </is>
      </c>
      <c r="E40" s="139" t="inlineStr">
        <is>
          <t>1500 W</t>
        </is>
      </c>
    </row>
    <row r="42">
      <c r="B42" s="247" t="inlineStr">
        <is>
          <t>MANO DE OBRA</t>
        </is>
      </c>
    </row>
    <row r="43">
      <c r="B43" s="246" t="inlineStr">
        <is>
          <t>Rol</t>
        </is>
      </c>
      <c r="C43" s="246" t="inlineStr">
        <is>
          <t>Tareas</t>
        </is>
      </c>
      <c r="D43" s="246" t="inlineStr">
        <is>
          <t>Horas</t>
        </is>
      </c>
      <c r="E43" s="246" t="inlineStr">
        <is>
          <t>Costo</t>
        </is>
      </c>
    </row>
    <row r="44">
      <c r="B44" s="139" t="inlineStr">
        <is>
          <t>Plomero</t>
        </is>
      </c>
      <c r="C44" s="139" t="n">
        <v>5</v>
      </c>
      <c r="D44" s="139" t="n">
        <v>20</v>
      </c>
      <c r="E44" s="139" t="inlineStr">
        <is>
          <t>$50,000.00</t>
        </is>
      </c>
    </row>
    <row r="45">
      <c r="B45" s="246" t="inlineStr">
        <is>
          <t>TOTAL MANO DE OBRA</t>
        </is>
      </c>
      <c r="E45" s="246" t="inlineStr">
        <is>
          <t>$50,000.00</t>
        </is>
      </c>
    </row>
    <row r="47">
      <c r="B47" s="247" t="inlineStr">
        <is>
          <t>SECUENCIA DE TRABAJO</t>
        </is>
      </c>
    </row>
    <row r="48">
      <c r="B48" s="139" t="inlineStr">
        <is>
          <t>1. Marcado y replanteo del terreno</t>
        </is>
      </c>
    </row>
    <row r="49">
      <c r="B49" s="139" t="inlineStr">
        <is>
          <t>2. Excavación según dimensiones especificadas</t>
        </is>
      </c>
    </row>
    <row r="50">
      <c r="B50" s="139" t="inlineStr">
        <is>
          <t>3. Preparación de cama de apoyo</t>
        </is>
      </c>
    </row>
    <row r="51">
      <c r="B51" s="139" t="inlineStr">
        <is>
          <t>4. Instalación de la piscina</t>
        </is>
      </c>
    </row>
    <row r="52">
      <c r="B52" s="139" t="inlineStr">
        <is>
          <t>5. Instalación hidráulica (plomería)</t>
        </is>
      </c>
    </row>
    <row r="53">
      <c r="B53" s="139" t="inlineStr">
        <is>
          <t>6. Instalación eléctrica y equipos</t>
        </is>
      </c>
    </row>
    <row r="54">
      <c r="B54" s="139" t="inlineStr">
        <is>
          <t>7. Relleno y compactación</t>
        </is>
      </c>
    </row>
    <row r="55">
      <c r="B55" s="139" t="inlineStr">
        <is>
          <t>8. Construcción de vereda perimetral</t>
        </is>
      </c>
    </row>
    <row r="56">
      <c r="B56" s="139" t="inlineStr">
        <is>
          <t>9. Pruebas de funcionamiento</t>
        </is>
      </c>
    </row>
    <row r="58">
      <c r="B58" s="247" t="inlineStr">
        <is>
          <t>NORMAS Y OBSERVACIONES</t>
        </is>
      </c>
    </row>
    <row r="59">
      <c r="B59" s="139" t="inlineStr">
        <is>
          <t>• Todos los materiales deben cumplir con normas IRAM vigentes</t>
        </is>
      </c>
    </row>
    <row r="60">
      <c r="B60" s="139" t="inlineStr">
        <is>
          <t>• La instalación eléctrica debe ser realizada por electricista matriculado</t>
        </is>
      </c>
    </row>
    <row r="61">
      <c r="B61" s="139" t="inlineStr">
        <is>
          <t>• Los equipos deben instalarse en lugar ventilado y protegido</t>
        </is>
      </c>
    </row>
    <row r="62">
      <c r="B62" s="139" t="inlineStr">
        <is>
          <t>• Realizar prueba de estanqueidad antes del llenado final</t>
        </is>
      </c>
    </row>
    <row r="63">
      <c r="B63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2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2025-12-07</t>
        </is>
      </c>
    </row>
    <row r="5">
      <c r="B5" s="246" t="inlineStr">
        <is>
          <t>Cliente</t>
        </is>
      </c>
      <c r="C5" s="139" t="inlineStr">
        <is>
          <t>Jorge Cayo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Coral (7×3.5 m x 1.4 a 1.4 metros de profundidad)</t>
        </is>
      </c>
    </row>
    <row r="8">
      <c r="B8" s="246" t="inlineStr">
        <is>
          <t>Volumen</t>
        </is>
      </c>
      <c r="C8" s="139" t="inlineStr">
        <is>
          <t>34.30 m³ / Espejo de agua: 24.50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7.3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3.8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1.5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41.61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13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2.45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bolsas de 50kg</t>
        </is>
      </c>
      <c r="E26" s="139" t="n">
        <v>5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inlineStr">
        <is>
          <t>0.68</t>
        </is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inlineStr">
        <is>
          <t>0.90</t>
        </is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14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0 W</t>
        </is>
      </c>
    </row>
    <row r="38">
      <c r="B38" s="139" t="inlineStr">
        <is>
          <t>Amperaje</t>
        </is>
      </c>
      <c r="E38" s="139" t="inlineStr">
        <is>
          <t>0 A</t>
        </is>
      </c>
    </row>
    <row r="40">
      <c r="B40" s="247" t="inlineStr">
        <is>
          <t>ANÁLISIS HIDRÁULICO PROFESIONAL</t>
        </is>
      </c>
    </row>
    <row r="41">
      <c r="B41" s="139" t="inlineStr">
        <is>
          <t>TDH Total (Altura Dinámica Total)</t>
        </is>
      </c>
      <c r="E41" s="139" t="inlineStr">
        <is>
          <t>15.73 m</t>
        </is>
      </c>
      <c r="F41" s="139" t="inlineStr">
        <is>
          <t>Altura que debe vencer la bomba</t>
        </is>
      </c>
    </row>
    <row r="42">
      <c r="B42" s="139" t="inlineStr">
        <is>
          <t>Pérdida por fricción (succión)</t>
        </is>
      </c>
      <c r="E42" s="139" t="inlineStr">
        <is>
          <t>0.10 m</t>
        </is>
      </c>
    </row>
    <row r="43">
      <c r="B43" s="139" t="inlineStr">
        <is>
          <t>Pérdida por fricción (retorno)</t>
        </is>
      </c>
      <c r="E43" s="139" t="inlineStr">
        <is>
          <t>0.28 m</t>
        </is>
      </c>
    </row>
    <row r="44">
      <c r="B44" s="246" t="inlineStr">
        <is>
          <t>Pérdida por fricción total</t>
        </is>
      </c>
      <c r="E44" s="139" t="inlineStr">
        <is>
          <t>0.38 m</t>
        </is>
      </c>
    </row>
    <row r="45">
      <c r="B45" s="139" t="inlineStr">
        <is>
          <t>Pérdida singular (accesorios succión)</t>
        </is>
      </c>
      <c r="E45" s="139" t="inlineStr">
        <is>
          <t>0.52 m</t>
        </is>
      </c>
    </row>
    <row r="46">
      <c r="B46" s="139" t="inlineStr">
        <is>
          <t>Pérdida singular (accesorios retorno)</t>
        </is>
      </c>
      <c r="E46" s="139" t="inlineStr">
        <is>
          <t>1.28 m</t>
        </is>
      </c>
    </row>
    <row r="47">
      <c r="B47" s="246" t="inlineStr">
        <is>
          <t>Pérdida singular total</t>
        </is>
      </c>
      <c r="E47" s="139" t="inlineStr">
        <is>
          <t>1.80 m</t>
        </is>
      </c>
    </row>
    <row r="48">
      <c r="B48" s="246" t="inlineStr">
        <is>
          <t>Validación de velocidades:</t>
        </is>
      </c>
    </row>
    <row r="49">
      <c r="B49" s="139" t="inlineStr">
        <is>
          <t xml:space="preserve">  -: 0.73 m/s - ⚠ Fuera de rango</t>
        </is>
      </c>
      <c r="F49" s="139" t="inlineStr">
        <is>
          <t>Rango óptimo: 1.5-2.5 m/s</t>
        </is>
      </c>
    </row>
    <row r="50">
      <c r="B50" s="139" t="inlineStr">
        <is>
          <t xml:space="preserve">  -: 1.14 m/s - ⚠ Fuera de rango</t>
        </is>
      </c>
      <c r="F50" s="139" t="inlineStr">
        <is>
          <t>Rango óptimo: 1.5-2.5 m/s</t>
        </is>
      </c>
    </row>
    <row r="51">
      <c r="B51" s="246" t="inlineStr">
        <is>
          <t>Advertencias:</t>
        </is>
      </c>
    </row>
    <row r="52">
      <c r="B52" s="139" t="inlineStr">
        <is>
          <t xml:space="preserve">  ⚠ Velocidad muy baja (0.73 m/s). Riesgo de sedimentación. Reducir diámetro o aumentar caudal.</t>
        </is>
      </c>
    </row>
    <row r="53">
      <c r="B53" s="139" t="inlineStr">
        <is>
          <t xml:space="preserve">  ⚠ Velocidad muy baja (1.14 m/s). Riesgo de sedimentación. Reducir diámetro o aumentar caudal.</t>
        </is>
      </c>
    </row>
    <row r="55">
      <c r="B55" s="247" t="inlineStr">
        <is>
          <t>ANÁLISIS ELÉCTRICO PROFESIONAL</t>
        </is>
      </c>
    </row>
    <row r="56">
      <c r="B56" s="139" t="inlineStr">
        <is>
          <t>Potencia instalada total</t>
        </is>
      </c>
      <c r="E56" s="139" t="inlineStr">
        <is>
          <t>856 W</t>
        </is>
      </c>
    </row>
    <row r="57">
      <c r="B57" s="139" t="inlineStr">
        <is>
          <t>Potencia de demanda (con simultaneidad)</t>
        </is>
      </c>
      <c r="E57" s="139" t="inlineStr">
        <is>
          <t>831 W</t>
        </is>
      </c>
      <c r="F57" s="139" t="inlineStr">
        <is>
          <t>Considera factor de simultaneidad</t>
        </is>
      </c>
    </row>
    <row r="58">
      <c r="B58" s="246" t="inlineStr">
        <is>
          <t>Corriente total calculada</t>
        </is>
      </c>
      <c r="E58" s="139" t="inlineStr">
        <is>
          <t>5.20 A</t>
        </is>
      </c>
      <c r="F58" s="139" t="inlineStr">
        <is>
          <t>Con factor de potencia y eficiencia</t>
        </is>
      </c>
    </row>
    <row r="59">
      <c r="B59" s="139" t="inlineStr">
        <is>
          <t>Cable recomendado</t>
        </is>
      </c>
      <c r="C59" s="139" t="inlineStr">
        <is>
          <t>1.5 mm²</t>
        </is>
      </c>
      <c r="F59" s="139" t="inlineStr">
        <is>
          <t>Caída de tensión: 1.74% (máx 3%)</t>
        </is>
      </c>
    </row>
    <row r="60">
      <c r="B60" s="139" t="inlineStr">
        <is>
          <t>Capacidad de corriente del cable</t>
        </is>
      </c>
      <c r="E60" s="139" t="inlineStr">
        <is>
          <t>0.0 A</t>
        </is>
      </c>
    </row>
    <row r="61">
      <c r="B61" s="139" t="inlineStr">
        <is>
          <t>Interruptor termomagnético (Breaker)</t>
        </is>
      </c>
      <c r="C61" s="139" t="inlineStr">
        <is>
          <t>0 A</t>
        </is>
      </c>
      <c r="F61" s="139" t="inlineStr">
        <is>
          <t>Curva C recomendada</t>
        </is>
      </c>
    </row>
    <row r="62">
      <c r="B62" s="139" t="inlineStr">
        <is>
          <t>Diferencial (RCD)</t>
        </is>
      </c>
      <c r="C62" s="139" t="inlineStr">
        <is>
          <t>0 A / 30 mA</t>
        </is>
      </c>
      <c r="F62" s="139" t="inlineStr">
        <is>
          <t>Obligatorio para piscinas</t>
        </is>
      </c>
    </row>
    <row r="63">
      <c r="B63" s="246" t="inlineStr">
        <is>
          <t>Desglose de cargas eléctricas:</t>
        </is>
      </c>
    </row>
    <row r="64">
      <c r="B64" s="246" t="inlineStr">
        <is>
          <t>Equipo</t>
        </is>
      </c>
      <c r="C64" s="246" t="inlineStr">
        <is>
          <t>Potencia (W)</t>
        </is>
      </c>
      <c r="D64" s="246" t="inlineStr">
        <is>
          <t>Corriente (A)</t>
        </is>
      </c>
      <c r="E64" s="246" t="inlineStr">
        <is>
          <t>FP (cos φ)</t>
        </is>
      </c>
      <c r="F64" s="246" t="inlineStr">
        <is>
          <t>Observaciones</t>
        </is>
      </c>
    </row>
    <row r="65">
      <c r="B65" s="139" t="inlineStr">
        <is>
          <t>Luces LED Led RGBA</t>
        </is>
      </c>
      <c r="C65" s="139" t="inlineStr">
        <is>
          <t>50 W</t>
        </is>
      </c>
      <c r="D65" s="139" t="inlineStr">
        <is>
          <t>0.00 A</t>
        </is>
      </c>
      <c r="E65" s="139" t="inlineStr">
        <is>
          <t>0.95</t>
        </is>
      </c>
      <c r="F65" s="139" t="inlineStr">
        <is>
          <t>Eficiencia: 90%</t>
        </is>
      </c>
    </row>
    <row r="66">
      <c r="B66" s="139" t="inlineStr">
        <is>
          <t>Transformador 220V a 12V</t>
        </is>
      </c>
      <c r="C66" s="139" t="inlineStr">
        <is>
          <t>60 W</t>
        </is>
      </c>
      <c r="D66" s="139" t="inlineStr">
        <is>
          <t>0.00 A</t>
        </is>
      </c>
      <c r="E66" s="139" t="inlineStr">
        <is>
          <t>0.85</t>
        </is>
      </c>
      <c r="F66" s="139" t="inlineStr">
        <is>
          <t>Eficiencia: 85%</t>
        </is>
      </c>
    </row>
    <row r="67">
      <c r="B67" s="139" t="inlineStr">
        <is>
          <t>Bomba de filtrado</t>
        </is>
      </c>
      <c r="C67" s="139" t="inlineStr">
        <is>
          <t>745.7 W</t>
        </is>
      </c>
      <c r="D67" s="139" t="inlineStr">
        <is>
          <t>0.00 A</t>
        </is>
      </c>
      <c r="E67" s="139" t="inlineStr">
        <is>
          <t>0.85</t>
        </is>
      </c>
      <c r="F67" s="139" t="inlineStr">
        <is>
          <t>Eficiencia: 85%</t>
        </is>
      </c>
    </row>
    <row r="68">
      <c r="B68" s="246" t="inlineStr">
        <is>
          <t>Costo operativo estimado:</t>
        </is>
      </c>
    </row>
    <row r="69">
      <c r="B69" s="139" t="inlineStr">
        <is>
          <t>Consumo diario</t>
        </is>
      </c>
      <c r="E69" s="139" t="inlineStr">
        <is>
          <t>6.65 kWh</t>
        </is>
      </c>
    </row>
    <row r="70">
      <c r="B70" s="139" t="inlineStr">
        <is>
          <t>Costo mensual estimado</t>
        </is>
      </c>
      <c r="E70" s="139" t="inlineStr">
        <is>
          <t>$29.91</t>
        </is>
      </c>
      <c r="F70" s="139" t="inlineStr">
        <is>
          <t>8 hrs/día promedio</t>
        </is>
      </c>
    </row>
    <row r="71">
      <c r="B71" s="139" t="inlineStr">
        <is>
          <t>Costo anual estimado</t>
        </is>
      </c>
      <c r="E71" s="139" t="inlineStr">
        <is>
          <t>$363.85</t>
        </is>
      </c>
    </row>
    <row r="73">
      <c r="B73" s="247" t="inlineStr">
        <is>
          <t>MANO DE OBRA</t>
        </is>
      </c>
    </row>
    <row r="74">
      <c r="B74" s="139" t="inlineStr">
        <is>
          <t>Sin mano de obra especificada</t>
        </is>
      </c>
    </row>
    <row r="76">
      <c r="B76" s="247" t="inlineStr">
        <is>
          <t>SECUENCIA DE TRABAJO</t>
        </is>
      </c>
    </row>
    <row r="77">
      <c r="B77" s="139" t="inlineStr">
        <is>
          <t>1. Marcado y replanteo del terreno</t>
        </is>
      </c>
    </row>
    <row r="78">
      <c r="B78" s="139" t="inlineStr">
        <is>
          <t>2. Excavación según dimensiones especificadas</t>
        </is>
      </c>
    </row>
    <row r="79">
      <c r="B79" s="139" t="inlineStr">
        <is>
          <t>3. Preparación de cama de apoyo</t>
        </is>
      </c>
    </row>
    <row r="80">
      <c r="B80" s="139" t="inlineStr">
        <is>
          <t>4. Instalación de la piscina</t>
        </is>
      </c>
    </row>
    <row r="81">
      <c r="B81" s="139" t="inlineStr">
        <is>
          <t>5. Instalación hidráulica (plomería)</t>
        </is>
      </c>
    </row>
    <row r="82">
      <c r="B82" s="139" t="inlineStr">
        <is>
          <t>6. Instalación eléctrica y equipos</t>
        </is>
      </c>
    </row>
    <row r="83">
      <c r="B83" s="139" t="inlineStr">
        <is>
          <t>7. Relleno y compactación</t>
        </is>
      </c>
    </row>
    <row r="84">
      <c r="B84" s="139" t="inlineStr">
        <is>
          <t>8. Construcción de vereda perimetral</t>
        </is>
      </c>
    </row>
    <row r="85">
      <c r="B85" s="139" t="inlineStr">
        <is>
          <t>9. Pruebas de funcionamiento</t>
        </is>
      </c>
    </row>
    <row r="87">
      <c r="B87" s="247" t="inlineStr">
        <is>
          <t>NORMAS Y OBSERVACIONES</t>
        </is>
      </c>
    </row>
    <row r="88">
      <c r="B88" s="139" t="inlineStr">
        <is>
          <t>• Todos los materiales deben cumplir con normas IRAM vigentes</t>
        </is>
      </c>
    </row>
    <row r="89">
      <c r="B89" s="139" t="inlineStr">
        <is>
          <t>• La instalación eléctrica debe ser realizada por electricista matriculado</t>
        </is>
      </c>
    </row>
    <row r="90">
      <c r="B90" s="139" t="inlineStr">
        <is>
          <t>• Los equipos deben instalarse en lugar ventilado y protegido</t>
        </is>
      </c>
    </row>
    <row r="91">
      <c r="B91" s="139" t="inlineStr">
        <is>
          <t>• Realizar prueba de estanqueidad antes del llenado final</t>
        </is>
      </c>
    </row>
    <row r="92">
      <c r="B92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93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2025-12-19</t>
        </is>
      </c>
    </row>
    <row r="5">
      <c r="B5" s="246" t="inlineStr">
        <is>
          <t>Cliente</t>
        </is>
      </c>
      <c r="C5" s="139" t="inlineStr">
        <is>
          <t>Eugenio Lopez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Citrino (5×2.5 m x 1.3 a 1.3 metros de profundidad)</t>
        </is>
      </c>
    </row>
    <row r="8">
      <c r="B8" s="246" t="inlineStr">
        <is>
          <t>Volumen</t>
        </is>
      </c>
      <c r="C8" s="139" t="inlineStr">
        <is>
          <t>16.25 m³ / Espejo de agua: 12.50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5.3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2.8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1.4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20.776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7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1.25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bolsas de 50kg</t>
        </is>
      </c>
      <c r="E26" s="139" t="n">
        <v>3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n">
        <v>1</v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n">
        <v>1</v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8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580 W</t>
        </is>
      </c>
    </row>
    <row r="38">
      <c r="B38" s="139" t="inlineStr">
        <is>
          <t>Amperaje</t>
        </is>
      </c>
      <c r="E38" s="139" t="inlineStr">
        <is>
          <t>2.6 A</t>
        </is>
      </c>
    </row>
    <row r="40">
      <c r="B40" s="247" t="inlineStr">
        <is>
          <t>ANÁLISIS HIDRÁULICO PROFESIONAL</t>
        </is>
      </c>
    </row>
    <row r="41">
      <c r="B41" s="139" t="inlineStr">
        <is>
          <t>TDH Total (Altura Dinámica Total)</t>
        </is>
      </c>
      <c r="E41" s="139" t="inlineStr">
        <is>
          <t>13.98 m</t>
        </is>
      </c>
      <c r="F41" s="139" t="inlineStr">
        <is>
          <t>Altura que debe vencer la bomba</t>
        </is>
      </c>
    </row>
    <row r="42">
      <c r="B42" s="139" t="inlineStr">
        <is>
          <t>Pérdida por fricción (succión)</t>
        </is>
      </c>
      <c r="E42" s="139" t="inlineStr">
        <is>
          <t>0.02 m</t>
        </is>
      </c>
    </row>
    <row r="43">
      <c r="B43" s="139" t="inlineStr">
        <is>
          <t>Pérdida por fricción (retorno)</t>
        </is>
      </c>
      <c r="E43" s="139" t="inlineStr">
        <is>
          <t>0.07 m</t>
        </is>
      </c>
    </row>
    <row r="44">
      <c r="B44" s="246" t="inlineStr">
        <is>
          <t>Pérdida por fricción total</t>
        </is>
      </c>
      <c r="E44" s="139" t="inlineStr">
        <is>
          <t>0.09 m</t>
        </is>
      </c>
    </row>
    <row r="45">
      <c r="B45" s="139" t="inlineStr">
        <is>
          <t>Pérdida singular (accesorios succión)</t>
        </is>
      </c>
      <c r="E45" s="139" t="inlineStr">
        <is>
          <t>0.12 m</t>
        </is>
      </c>
    </row>
    <row r="46">
      <c r="B46" s="139" t="inlineStr">
        <is>
          <t>Pérdida singular (accesorios retorno)</t>
        </is>
      </c>
      <c r="E46" s="139" t="inlineStr">
        <is>
          <t>0.45 m</t>
        </is>
      </c>
    </row>
    <row r="47">
      <c r="B47" s="246" t="inlineStr">
        <is>
          <t>Pérdida singular total</t>
        </is>
      </c>
      <c r="E47" s="139" t="inlineStr">
        <is>
          <t>0.56 m</t>
        </is>
      </c>
    </row>
    <row r="48">
      <c r="B48" s="246" t="inlineStr">
        <is>
          <t>Validación de velocidades:</t>
        </is>
      </c>
    </row>
    <row r="49">
      <c r="B49" s="139" t="inlineStr">
        <is>
          <t xml:space="preserve">  -: 0.34 m/s - ⚠ Fuera de rango</t>
        </is>
      </c>
      <c r="F49" s="139" t="inlineStr">
        <is>
          <t>Rango óptimo: 1.5-2.5 m/s</t>
        </is>
      </c>
    </row>
    <row r="50">
      <c r="B50" s="139" t="inlineStr">
        <is>
          <t xml:space="preserve">  -: 0.54 m/s - ⚠ Fuera de rango</t>
        </is>
      </c>
      <c r="F50" s="139" t="inlineStr">
        <is>
          <t>Rango óptimo: 1.5-2.5 m/s</t>
        </is>
      </c>
    </row>
    <row r="51">
      <c r="B51" s="246" t="inlineStr">
        <is>
          <t>Advertencias:</t>
        </is>
      </c>
    </row>
    <row r="52">
      <c r="B52" s="139" t="inlineStr">
        <is>
          <t xml:space="preserve">  ⚠ Velocidad muy baja (0.34 m/s). Riesgo de sedimentación. Reducir diámetro o aumentar caudal.</t>
        </is>
      </c>
    </row>
    <row r="53">
      <c r="B53" s="139" t="inlineStr">
        <is>
          <t xml:space="preserve">  ⚠ Velocidad muy baja (0.54 m/s). Riesgo de sedimentación. Reducir diámetro o aumentar caudal.</t>
        </is>
      </c>
    </row>
    <row r="54">
      <c r="B54" s="139" t="inlineStr">
        <is>
          <t xml:space="preserve">  ⚠ Tu bomba seleccionada (Bomba Astralpool Sena 1 HP) no tiene suficiente altura: 10.0 m vs 15.4 m requerido</t>
        </is>
      </c>
    </row>
    <row r="56">
      <c r="B56" s="247" t="inlineStr">
        <is>
          <t>ANÁLISIS ELÉCTRICO PROFESIONAL</t>
        </is>
      </c>
    </row>
    <row r="57">
      <c r="B57" s="139" t="inlineStr">
        <is>
          <t>Potencia instalada total</t>
        </is>
      </c>
      <c r="E57" s="139" t="inlineStr">
        <is>
          <t>593 W</t>
        </is>
      </c>
    </row>
    <row r="58">
      <c r="B58" s="139" t="inlineStr">
        <is>
          <t>Potencia de demanda (con simultaneidad)</t>
        </is>
      </c>
      <c r="E58" s="139" t="inlineStr">
        <is>
          <t>543 W</t>
        </is>
      </c>
      <c r="F58" s="139" t="inlineStr">
        <is>
          <t>Considera factor de simultaneidad</t>
        </is>
      </c>
    </row>
    <row r="59">
      <c r="B59" s="246" t="inlineStr">
        <is>
          <t>Corriente total calculada</t>
        </is>
      </c>
      <c r="E59" s="139" t="inlineStr">
        <is>
          <t>3.37 A</t>
        </is>
      </c>
      <c r="F59" s="139" t="inlineStr">
        <is>
          <t>Con factor de potencia y eficiencia</t>
        </is>
      </c>
    </row>
    <row r="60">
      <c r="B60" s="139" t="inlineStr">
        <is>
          <t>Cable recomendado</t>
        </is>
      </c>
      <c r="C60" s="139" t="inlineStr">
        <is>
          <t>1.5 mm²</t>
        </is>
      </c>
      <c r="F60" s="139" t="inlineStr">
        <is>
          <t>Caída de tensión: 1.13% (máx 3%)</t>
        </is>
      </c>
    </row>
    <row r="61">
      <c r="B61" s="139" t="inlineStr">
        <is>
          <t>Capacidad de corriente del cable</t>
        </is>
      </c>
      <c r="E61" s="139" t="inlineStr">
        <is>
          <t>0.0 A</t>
        </is>
      </c>
    </row>
    <row r="62">
      <c r="B62" s="139" t="inlineStr">
        <is>
          <t>Interruptor termomagnético (Breaker)</t>
        </is>
      </c>
      <c r="C62" s="139" t="inlineStr">
        <is>
          <t>0 A</t>
        </is>
      </c>
      <c r="F62" s="139" t="inlineStr">
        <is>
          <t>Curva C recomendada</t>
        </is>
      </c>
    </row>
    <row r="63">
      <c r="B63" s="139" t="inlineStr">
        <is>
          <t>Diferencial (RCD)</t>
        </is>
      </c>
      <c r="C63" s="139" t="inlineStr">
        <is>
          <t>0 A / 30 mA</t>
        </is>
      </c>
      <c r="F63" s="139" t="inlineStr">
        <is>
          <t>Obligatorio para piscinas</t>
        </is>
      </c>
    </row>
    <row r="64">
      <c r="B64" s="246" t="inlineStr">
        <is>
          <t>Desglose de cargas eléctricas:</t>
        </is>
      </c>
    </row>
    <row r="65">
      <c r="B65" s="246" t="inlineStr">
        <is>
          <t>Equipo</t>
        </is>
      </c>
      <c r="C65" s="246" t="inlineStr">
        <is>
          <t>Potencia (W)</t>
        </is>
      </c>
      <c r="D65" s="246" t="inlineStr">
        <is>
          <t>Corriente (A)</t>
        </is>
      </c>
      <c r="E65" s="246" t="inlineStr">
        <is>
          <t>FP (cos φ)</t>
        </is>
      </c>
      <c r="F65" s="246" t="inlineStr">
        <is>
          <t>Observaciones</t>
        </is>
      </c>
    </row>
    <row r="66">
      <c r="B66" s="139" t="inlineStr">
        <is>
          <t>Luces LED Led</t>
        </is>
      </c>
      <c r="C66" s="139" t="inlineStr">
        <is>
          <t>50 W</t>
        </is>
      </c>
      <c r="D66" s="139" t="inlineStr">
        <is>
          <t>0.00 A</t>
        </is>
      </c>
      <c r="E66" s="139" t="inlineStr">
        <is>
          <t>0.95</t>
        </is>
      </c>
      <c r="F66" s="139" t="inlineStr">
        <is>
          <t>Eficiencia: 90%</t>
        </is>
      </c>
    </row>
    <row r="67">
      <c r="B67" s="139" t="inlineStr">
        <is>
          <t>Transformador 220V a 12V</t>
        </is>
      </c>
      <c r="C67" s="139" t="inlineStr">
        <is>
          <t>120 W</t>
        </is>
      </c>
      <c r="D67" s="139" t="inlineStr">
        <is>
          <t>0.00 A</t>
        </is>
      </c>
      <c r="E67" s="139" t="inlineStr">
        <is>
          <t>0.85</t>
        </is>
      </c>
      <c r="F67" s="139" t="inlineStr">
        <is>
          <t>Eficiencia: 85%</t>
        </is>
      </c>
    </row>
    <row r="68">
      <c r="B68" s="139" t="inlineStr">
        <is>
          <t>Bomba de filtrado</t>
        </is>
      </c>
      <c r="C68" s="139" t="inlineStr">
        <is>
          <t>372.85 W</t>
        </is>
      </c>
      <c r="D68" s="139" t="inlineStr">
        <is>
          <t>0.00 A</t>
        </is>
      </c>
      <c r="E68" s="139" t="inlineStr">
        <is>
          <t>0.85</t>
        </is>
      </c>
      <c r="F68" s="139" t="inlineStr">
        <is>
          <t>Eficiencia: 85%</t>
        </is>
      </c>
    </row>
    <row r="69">
      <c r="B69" s="246" t="inlineStr">
        <is>
          <t>Costo operativo estimado:</t>
        </is>
      </c>
    </row>
    <row r="70">
      <c r="B70" s="139" t="inlineStr">
        <is>
          <t>Consumo diario</t>
        </is>
      </c>
      <c r="E70" s="139" t="inlineStr">
        <is>
          <t>4.34 kWh</t>
        </is>
      </c>
    </row>
    <row r="71">
      <c r="B71" s="139" t="inlineStr">
        <is>
          <t>Costo mensual estimado</t>
        </is>
      </c>
      <c r="E71" s="139" t="inlineStr">
        <is>
          <t>$19.54</t>
        </is>
      </c>
      <c r="F71" s="139" t="inlineStr">
        <is>
          <t>8 hrs/día promedio</t>
        </is>
      </c>
    </row>
    <row r="72">
      <c r="B72" s="139" t="inlineStr">
        <is>
          <t>Costo anual estimado</t>
        </is>
      </c>
      <c r="E72" s="139" t="inlineStr">
        <is>
          <t>$237.77</t>
        </is>
      </c>
    </row>
    <row r="74">
      <c r="B74" s="247" t="inlineStr">
        <is>
          <t>MANO DE OBRA</t>
        </is>
      </c>
    </row>
    <row r="75">
      <c r="B75" s="139" t="inlineStr">
        <is>
          <t>Sin mano de obra especificada</t>
        </is>
      </c>
    </row>
    <row r="77">
      <c r="B77" s="247" t="inlineStr">
        <is>
          <t>SECUENCIA DE TRABAJO</t>
        </is>
      </c>
    </row>
    <row r="78">
      <c r="B78" s="139" t="inlineStr">
        <is>
          <t>1. Marcado y replanteo del terreno</t>
        </is>
      </c>
    </row>
    <row r="79">
      <c r="B79" s="139" t="inlineStr">
        <is>
          <t>2. Excavación según dimensiones especificadas</t>
        </is>
      </c>
    </row>
    <row r="80">
      <c r="B80" s="139" t="inlineStr">
        <is>
          <t>3. Preparación de cama de apoyo</t>
        </is>
      </c>
    </row>
    <row r="81">
      <c r="B81" s="139" t="inlineStr">
        <is>
          <t>4. Instalación de la piscina</t>
        </is>
      </c>
    </row>
    <row r="82">
      <c r="B82" s="139" t="inlineStr">
        <is>
          <t>5. Instalación hidráulica (plomería)</t>
        </is>
      </c>
    </row>
    <row r="83">
      <c r="B83" s="139" t="inlineStr">
        <is>
          <t>6. Instalación eléctrica y equipos</t>
        </is>
      </c>
    </row>
    <row r="84">
      <c r="B84" s="139" t="inlineStr">
        <is>
          <t>7. Relleno y compactación</t>
        </is>
      </c>
    </row>
    <row r="85">
      <c r="B85" s="139" t="inlineStr">
        <is>
          <t>8. Construcción de vereda perimetral</t>
        </is>
      </c>
    </row>
    <row r="86">
      <c r="B86" s="139" t="inlineStr">
        <is>
          <t>9. Pruebas de funcionamiento</t>
        </is>
      </c>
    </row>
    <row r="88">
      <c r="B88" s="247" t="inlineStr">
        <is>
          <t>NORMAS Y OBSERVACIONES</t>
        </is>
      </c>
    </row>
    <row r="89">
      <c r="B89" s="139" t="inlineStr">
        <is>
          <t>• Todos los materiales deben cumplir con normas IRAM vigentes</t>
        </is>
      </c>
    </row>
    <row r="90">
      <c r="B90" s="139" t="inlineStr">
        <is>
          <t>• La instalación eléctrica debe ser realizada por electricista matriculado</t>
        </is>
      </c>
    </row>
    <row r="91">
      <c r="B91" s="139" t="inlineStr">
        <is>
          <t>• Los equipos deben instalarse en lugar ventilado y protegido</t>
        </is>
      </c>
    </row>
    <row r="92">
      <c r="B92" s="139" t="inlineStr">
        <is>
          <t>• Realizar prueba de estanqueidad antes del llenado final</t>
        </is>
      </c>
    </row>
    <row r="93">
      <c r="B93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91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t="inlineStr">
        <is>
          <t>2025-12-20</t>
        </is>
      </c>
    </row>
    <row r="5">
      <c r="B5" s="246" t="inlineStr">
        <is>
          <t>Cliente</t>
        </is>
      </c>
      <c r="C5" t="inlineStr">
        <is>
          <t>GASTON VILLARUEL</t>
        </is>
      </c>
    </row>
    <row r="6">
      <c r="B6" s="246" t="inlineStr">
        <is>
          <t>Domicilio</t>
        </is>
      </c>
      <c r="C6" t="inlineStr">
        <is>
          <t>-</t>
        </is>
      </c>
    </row>
    <row r="7">
      <c r="B7" s="246" t="inlineStr">
        <is>
          <t>Piscina</t>
        </is>
      </c>
      <c r="C7" t="inlineStr">
        <is>
          <t>Circón (5.5×2.8 m x 1.3 a 1.4 metros de profundidad)</t>
        </is>
      </c>
    </row>
    <row r="8">
      <c r="B8" s="246" t="inlineStr">
        <is>
          <t>Volumen</t>
        </is>
      </c>
      <c r="C8" t="inlineStr">
        <is>
          <t>20.79 m³ / Espejo de agua: 15.40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t="inlineStr">
        <is>
          <t>Longitud de excavación</t>
        </is>
      </c>
      <c r="D15" t="inlineStr">
        <is>
          <t>m</t>
        </is>
      </c>
      <c r="E15" t="n">
        <v>5.8</v>
      </c>
    </row>
    <row r="16">
      <c r="B16" t="inlineStr">
        <is>
          <t>Ancho de excavación</t>
        </is>
      </c>
      <c r="D16" t="inlineStr">
        <is>
          <t>m</t>
        </is>
      </c>
      <c r="E16" t="n">
        <v>3.1</v>
      </c>
    </row>
    <row r="17">
      <c r="B17" t="inlineStr">
        <is>
          <t>Profundidad de excavación</t>
        </is>
      </c>
      <c r="D17" t="inlineStr">
        <is>
          <t>m</t>
        </is>
      </c>
      <c r="E17" t="n">
        <v>1.4</v>
      </c>
    </row>
    <row r="18">
      <c r="B18" t="inlineStr">
        <is>
          <t>Volumen total de excavación</t>
        </is>
      </c>
      <c r="D18" t="inlineStr">
        <is>
          <t>m³</t>
        </is>
      </c>
      <c r="E18" t="n">
        <v>25.172</v>
      </c>
    </row>
    <row r="20">
      <c r="B20" s="247" t="inlineStr">
        <is>
          <t>CAMA DE APOYO</t>
        </is>
      </c>
    </row>
    <row r="21">
      <c r="B21" t="inlineStr">
        <is>
          <t>Cemento para la cama</t>
        </is>
      </c>
      <c r="D21" t="inlineStr">
        <is>
          <t>bolsas de 50kg</t>
        </is>
      </c>
      <c r="E21" t="n">
        <v>8</v>
      </c>
    </row>
    <row r="22">
      <c r="B22" t="inlineStr">
        <is>
          <t>Arena gruesa</t>
        </is>
      </c>
      <c r="D22" t="inlineStr">
        <is>
          <t>m³</t>
        </is>
      </c>
      <c r="E22" t="inlineStr">
        <is>
          <t>1.54</t>
        </is>
      </c>
    </row>
    <row r="23">
      <c r="B23" t="inlineStr">
        <is>
          <t>Mixto para la cama</t>
        </is>
      </c>
      <c r="D23" t="inlineStr">
        <is>
          <t>m³</t>
        </is>
      </c>
      <c r="E23" t="n">
        <v>0</v>
      </c>
    </row>
    <row r="25">
      <c r="B25" s="247" t="inlineStr">
        <is>
          <t>VEREDA</t>
        </is>
      </c>
    </row>
    <row r="26">
      <c r="B26" t="inlineStr">
        <is>
          <t>Cemento para vereda</t>
        </is>
      </c>
      <c r="D26" t="inlineStr">
        <is>
          <t>bolsas de 50kg</t>
        </is>
      </c>
      <c r="E26" t="n">
        <v>3</v>
      </c>
    </row>
    <row r="27">
      <c r="B27" t="inlineStr">
        <is>
          <t>Arena para vereda</t>
        </is>
      </c>
      <c r="D27" t="inlineStr">
        <is>
          <t>m³</t>
        </is>
      </c>
      <c r="E27" t="n">
        <v>1</v>
      </c>
    </row>
    <row r="28">
      <c r="B28" t="inlineStr">
        <is>
          <t>Piedra para vereda</t>
        </is>
      </c>
      <c r="D28" t="inlineStr">
        <is>
          <t>m³</t>
        </is>
      </c>
      <c r="E28" t="n">
        <v>1</v>
      </c>
    </row>
    <row r="29">
      <c r="B29" t="inlineStr">
        <is>
          <t>Malla sima</t>
        </is>
      </c>
      <c r="D29" t="inlineStr">
        <is>
          <t>m²</t>
        </is>
      </c>
      <c r="E29" t="n">
        <v>9</v>
      </c>
    </row>
    <row r="31">
      <c r="B31" s="247" t="inlineStr">
        <is>
          <t>PLOMERÍA Y MATERIALES PVC</t>
        </is>
      </c>
    </row>
    <row r="32">
      <c r="B32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t="inlineStr">
        <is>
          <t>Bomba</t>
        </is>
      </c>
      <c r="C35" t="inlineStr">
        <is>
          <t>-</t>
        </is>
      </c>
      <c r="E35" t="n">
        <v>1</v>
      </c>
      <c r="F35" t="inlineStr">
        <is>
          <t>-</t>
        </is>
      </c>
    </row>
    <row r="36">
      <c r="B36" t="inlineStr">
        <is>
          <t>Filtro</t>
        </is>
      </c>
      <c r="C36" t="inlineStr">
        <is>
          <t>-</t>
        </is>
      </c>
      <c r="E36" t="n">
        <v>1</v>
      </c>
      <c r="F36" t="inlineStr">
        <is>
          <t>-</t>
        </is>
      </c>
    </row>
    <row r="37">
      <c r="B37" t="inlineStr">
        <is>
          <t>Consumo total</t>
        </is>
      </c>
      <c r="E37" t="inlineStr">
        <is>
          <t>550 W</t>
        </is>
      </c>
    </row>
    <row r="38">
      <c r="B38" t="inlineStr">
        <is>
          <t>Amperaje</t>
        </is>
      </c>
      <c r="E38" t="inlineStr">
        <is>
          <t>2.5 A</t>
        </is>
      </c>
    </row>
    <row r="40">
      <c r="B40" s="247" t="inlineStr">
        <is>
          <t>ANÁLISIS HIDRÁULICO PROFESIONAL</t>
        </is>
      </c>
    </row>
    <row r="41">
      <c r="B41" t="inlineStr">
        <is>
          <t>TDH Total (Altura Dinámica Total)</t>
        </is>
      </c>
      <c r="E41" t="inlineStr">
        <is>
          <t>14.16 m</t>
        </is>
      </c>
      <c r="F41" t="inlineStr">
        <is>
          <t>Altura que debe vencer la bomba</t>
        </is>
      </c>
    </row>
    <row r="42">
      <c r="B42" t="inlineStr">
        <is>
          <t>Pérdida por fricción (succión)</t>
        </is>
      </c>
      <c r="E42" t="inlineStr">
        <is>
          <t>0.04 m</t>
        </is>
      </c>
    </row>
    <row r="43">
      <c r="B43" t="inlineStr">
        <is>
          <t>Pérdida por fricción (retorno)</t>
        </is>
      </c>
      <c r="E43" t="inlineStr">
        <is>
          <t>0.11 m</t>
        </is>
      </c>
    </row>
    <row r="44">
      <c r="B44" s="246" t="inlineStr">
        <is>
          <t>Pérdida por fricción total</t>
        </is>
      </c>
      <c r="E44" t="inlineStr">
        <is>
          <t>0.15 m</t>
        </is>
      </c>
    </row>
    <row r="45">
      <c r="B45" t="inlineStr">
        <is>
          <t>Pérdida singular (accesorios succión)</t>
        </is>
      </c>
      <c r="E45" t="inlineStr">
        <is>
          <t>0.19 m</t>
        </is>
      </c>
    </row>
    <row r="46">
      <c r="B46" t="inlineStr">
        <is>
          <t>Pérdida singular (accesorios retorno)</t>
        </is>
      </c>
      <c r="E46" t="inlineStr">
        <is>
          <t>0.47 m</t>
        </is>
      </c>
    </row>
    <row r="47">
      <c r="B47" s="246" t="inlineStr">
        <is>
          <t>Pérdida singular total</t>
        </is>
      </c>
      <c r="E47" t="inlineStr">
        <is>
          <t>0.66 m</t>
        </is>
      </c>
    </row>
    <row r="48">
      <c r="B48" s="246" t="inlineStr">
        <is>
          <t>Validación de velocidades:</t>
        </is>
      </c>
    </row>
    <row r="49">
      <c r="B49" t="inlineStr">
        <is>
          <t xml:space="preserve">  -: 0.44 m/s - ⚠ Fuera de rango</t>
        </is>
      </c>
      <c r="F49" t="inlineStr">
        <is>
          <t>Rango óptimo: 1.5-2.5 m/s</t>
        </is>
      </c>
    </row>
    <row r="50">
      <c r="B50" t="inlineStr">
        <is>
          <t xml:space="preserve">  -: 0.69 m/s - ⚠ Fuera de rango</t>
        </is>
      </c>
      <c r="F50" t="inlineStr">
        <is>
          <t>Rango óptimo: 1.5-2.5 m/s</t>
        </is>
      </c>
    </row>
    <row r="51">
      <c r="B51" s="246" t="inlineStr">
        <is>
          <t>Advertencias:</t>
        </is>
      </c>
    </row>
    <row r="52">
      <c r="B52" t="inlineStr">
        <is>
          <t xml:space="preserve">  ⚠ Velocidad muy baja (0.44 m/s). Riesgo de sedimentación. Reducir diámetro o aumentar caudal.</t>
        </is>
      </c>
    </row>
    <row r="53">
      <c r="B53" t="inlineStr">
        <is>
          <t xml:space="preserve">  ⚠ Velocidad muy baja (0.69 m/s). Riesgo de sedimentación. Reducir diámetro o aumentar caudal.</t>
        </is>
      </c>
    </row>
    <row r="54">
      <c r="B54" t="inlineStr">
        <is>
          <t xml:space="preserve">  ⚠ Tu bomba seleccionada (Bomba de filtración principal) no tiene suficiente altura: 7.4 m vs 15.6 m requerido</t>
        </is>
      </c>
    </row>
    <row r="56">
      <c r="B56" s="247" t="inlineStr">
        <is>
          <t>ANÁLISIS ELÉCTRICO PROFESIONAL</t>
        </is>
      </c>
    </row>
    <row r="57">
      <c r="B57" t="inlineStr">
        <is>
          <t>Potencia instalada total</t>
        </is>
      </c>
      <c r="E57" t="inlineStr">
        <is>
          <t>746 W</t>
        </is>
      </c>
    </row>
    <row r="58">
      <c r="B58" t="inlineStr">
        <is>
          <t>Potencia de demanda (con simultaneidad)</t>
        </is>
      </c>
      <c r="E58" t="inlineStr">
        <is>
          <t>746 W</t>
        </is>
      </c>
      <c r="F58" t="inlineStr">
        <is>
          <t>Considera factor de simultaneidad</t>
        </is>
      </c>
    </row>
    <row r="59">
      <c r="B59" s="246" t="inlineStr">
        <is>
          <t>Corriente total calculada</t>
        </is>
      </c>
      <c r="E59" t="inlineStr">
        <is>
          <t>4.69 A</t>
        </is>
      </c>
      <c r="F59" t="inlineStr">
        <is>
          <t>Con factor de potencia y eficiencia</t>
        </is>
      </c>
    </row>
    <row r="60">
      <c r="B60" t="inlineStr">
        <is>
          <t>Cable recomendado</t>
        </is>
      </c>
      <c r="C60" t="inlineStr">
        <is>
          <t>1.5 mm²</t>
        </is>
      </c>
      <c r="F60" t="inlineStr">
        <is>
          <t>Caída de tensión: 1.57% (máx 3%)</t>
        </is>
      </c>
    </row>
    <row r="61">
      <c r="B61" t="inlineStr">
        <is>
          <t>Capacidad de corriente del cable</t>
        </is>
      </c>
      <c r="E61" t="inlineStr">
        <is>
          <t>0.0 A</t>
        </is>
      </c>
    </row>
    <row r="62">
      <c r="B62" t="inlineStr">
        <is>
          <t>Interruptor termomagnético (Breaker)</t>
        </is>
      </c>
      <c r="C62" t="inlineStr">
        <is>
          <t>0 A</t>
        </is>
      </c>
      <c r="F62" t="inlineStr">
        <is>
          <t>Curva C recomendada</t>
        </is>
      </c>
    </row>
    <row r="63">
      <c r="B63" t="inlineStr">
        <is>
          <t>Diferencial (RCD)</t>
        </is>
      </c>
      <c r="C63" t="inlineStr">
        <is>
          <t>0 A / 30 mA</t>
        </is>
      </c>
      <c r="F63" t="inlineStr">
        <is>
          <t>Obligatorio para piscinas</t>
        </is>
      </c>
    </row>
    <row r="64">
      <c r="B64" s="246" t="inlineStr">
        <is>
          <t>Desglose de cargas eléctricas:</t>
        </is>
      </c>
    </row>
    <row r="65">
      <c r="B65" s="246" t="inlineStr">
        <is>
          <t>Equipo</t>
        </is>
      </c>
      <c r="C65" s="246" t="inlineStr">
        <is>
          <t>Potencia (W)</t>
        </is>
      </c>
      <c r="D65" s="246" t="inlineStr">
        <is>
          <t>Corriente (A)</t>
        </is>
      </c>
      <c r="E65" s="246" t="inlineStr">
        <is>
          <t>FP (cos φ)</t>
        </is>
      </c>
      <c r="F65" s="246" t="inlineStr">
        <is>
          <t>Observaciones</t>
        </is>
      </c>
    </row>
    <row r="66">
      <c r="B66" t="inlineStr">
        <is>
          <t>Bomba de filtrado</t>
        </is>
      </c>
      <c r="C66" t="inlineStr">
        <is>
          <t>745.7 W</t>
        </is>
      </c>
      <c r="D66" t="inlineStr">
        <is>
          <t>0.00 A</t>
        </is>
      </c>
      <c r="E66" t="inlineStr">
        <is>
          <t>0.85</t>
        </is>
      </c>
      <c r="F66" t="inlineStr">
        <is>
          <t>Eficiencia: 85%</t>
        </is>
      </c>
    </row>
    <row r="67">
      <c r="B67" s="246" t="inlineStr">
        <is>
          <t>Costo operativo estimado:</t>
        </is>
      </c>
    </row>
    <row r="68">
      <c r="B68" t="inlineStr">
        <is>
          <t>Consumo diario</t>
        </is>
      </c>
      <c r="E68" t="inlineStr">
        <is>
          <t>5.97 kWh</t>
        </is>
      </c>
    </row>
    <row r="69">
      <c r="B69" t="inlineStr">
        <is>
          <t>Costo mensual estimado</t>
        </is>
      </c>
      <c r="E69" t="inlineStr">
        <is>
          <t>$26.85</t>
        </is>
      </c>
      <c r="F69" t="inlineStr">
        <is>
          <t>8 hrs/día promedio</t>
        </is>
      </c>
    </row>
    <row r="70">
      <c r="B70" t="inlineStr">
        <is>
          <t>Costo anual estimado</t>
        </is>
      </c>
      <c r="E70" t="inlineStr">
        <is>
          <t>$326.62</t>
        </is>
      </c>
    </row>
    <row r="72">
      <c r="B72" s="247" t="inlineStr">
        <is>
          <t>MANO DE OBRA</t>
        </is>
      </c>
    </row>
    <row r="73">
      <c r="B73" t="inlineStr">
        <is>
          <t>Sin mano de obra especificada</t>
        </is>
      </c>
    </row>
    <row r="75">
      <c r="B75" s="247" t="inlineStr">
        <is>
          <t>SECUENCIA DE TRABAJO</t>
        </is>
      </c>
    </row>
    <row r="76">
      <c r="B76" t="inlineStr">
        <is>
          <t>1. Marcado y replanteo del terreno</t>
        </is>
      </c>
    </row>
    <row r="77">
      <c r="B77" t="inlineStr">
        <is>
          <t>2. Excavación según dimensiones especificadas</t>
        </is>
      </c>
    </row>
    <row r="78">
      <c r="B78" t="inlineStr">
        <is>
          <t>3. Preparación de cama de apoyo</t>
        </is>
      </c>
    </row>
    <row r="79">
      <c r="B79" t="inlineStr">
        <is>
          <t>4. Instalación de la piscina</t>
        </is>
      </c>
    </row>
    <row r="80">
      <c r="B80" t="inlineStr">
        <is>
          <t>5. Instalación hidráulica (plomería)</t>
        </is>
      </c>
    </row>
    <row r="81">
      <c r="B81" t="inlineStr">
        <is>
          <t>6. Instalación eléctrica y equipos</t>
        </is>
      </c>
    </row>
    <row r="82">
      <c r="B82" t="inlineStr">
        <is>
          <t>7. Relleno y compactación</t>
        </is>
      </c>
    </row>
    <row r="83">
      <c r="B83" t="inlineStr">
        <is>
          <t>8. Construcción de vereda perimetral</t>
        </is>
      </c>
    </row>
    <row r="84">
      <c r="B84" t="inlineStr">
        <is>
          <t>9. Pruebas de funcionamiento</t>
        </is>
      </c>
    </row>
    <row r="86">
      <c r="B86" s="247" t="inlineStr">
        <is>
          <t>NORMAS Y OBSERVACIONES</t>
        </is>
      </c>
    </row>
    <row r="87">
      <c r="B87" t="inlineStr">
        <is>
          <t>• Todos los materiales deben cumplir con normas IRAM vigentes</t>
        </is>
      </c>
    </row>
    <row r="88">
      <c r="B88" t="inlineStr">
        <is>
          <t>• La instalación eléctrica debe ser realizada por electricista matriculado</t>
        </is>
      </c>
    </row>
    <row r="89">
      <c r="B89" t="inlineStr">
        <is>
          <t>• Los equipos deben instalarse en lugar ventilado y protegido</t>
        </is>
      </c>
    </row>
    <row r="90">
      <c r="B90" t="inlineStr">
        <is>
          <t>• Realizar prueba de estanqueidad antes del llenado final</t>
        </is>
      </c>
    </row>
    <row r="91">
      <c r="B91" t="inlineStr">
        <is>
          <t>• Coordinar con albañil para trabajos de vereda y relleno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nuevocorreomadryn@outlook.com</dc:creator>
  <dc:language>es-AR</dc:language>
  <dcterms:created xsi:type="dcterms:W3CDTF">2025-09-18T18:51:34Z</dcterms:created>
  <dcterms:modified xsi:type="dcterms:W3CDTF">2025-12-20T17:33:25Z</dcterms:modified>
  <cp:revision>15</cp:revision>
  <cp:lastPrinted>2025-09-19T10:42:57Z</cp:lastPrinted>
</cp:coreProperties>
</file>