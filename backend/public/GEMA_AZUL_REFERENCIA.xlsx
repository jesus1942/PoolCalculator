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EMA AZUL (7.3X3.5)" sheetId="1" state="visible" r:id="rId3"/>
    <sheet name="CALCULOS MATERIALES GEMA AZUL" sheetId="2" state="visible" r:id="rId4"/>
    <sheet name="CIRCON (5,5x2,8)" sheetId="3" state="visible" r:id="rId5"/>
    <sheet name="CALCULO DE MATERIALES CIRCON" sheetId="4" state="visible" r:id="rId6"/>
  </sheets>
  <definedNames>
    <definedName function="false" hidden="false" localSheetId="1" name="grilla" vbProcedure="false">'CALCULOS MATERIALES GEMA AZUL'!$P$9:$AB$34</definedName>
    <definedName function="false" hidden="false" localSheetId="3" name="grilla" vbProcedure="false">'CALCULO DE MATERIALES CIRCON'!$P$9:$AB$34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<sst xmlns="http://schemas.openxmlformats.org/spreadsheetml/2006/main" count="533" uniqueCount="134">
  <si>
    <t xml:space="preserve">Materiales instalacion</t>
  </si>
  <si>
    <t xml:space="preserve">Fecha </t>
  </si>
  <si>
    <t xml:space="preserve">Cliente</t>
  </si>
  <si>
    <t xml:space="preserve">Dardo Petroli</t>
  </si>
  <si>
    <t xml:space="preserve">Domicilio</t>
  </si>
  <si>
    <t xml:space="preserve">Solana al fondo</t>
  </si>
  <si>
    <t xml:space="preserve">Piscina</t>
  </si>
  <si>
    <t xml:space="preserve">GEMA AZUL (7.3×3.5 m x 1.4 a 1.6 metros de profundidad o profundidad variable)</t>
  </si>
  <si>
    <t xml:space="preserve">Materiales / Consumible</t>
  </si>
  <si>
    <t xml:space="preserve">Marca</t>
  </si>
  <si>
    <t xml:space="preserve">Medidas</t>
  </si>
  <si>
    <t xml:space="preserve">Cantidad</t>
  </si>
  <si>
    <t xml:space="preserve">Jesús Olguin</t>
  </si>
  <si>
    <t xml:space="preserve">Materiales de PVC - Medida 40 mm</t>
  </si>
  <si>
    <t xml:space="preserve">Codo 90°</t>
  </si>
  <si>
    <t xml:space="preserve">Codo 45°</t>
  </si>
  <si>
    <t xml:space="preserve">Tee</t>
  </si>
  <si>
    <t xml:space="preserve">Válvula de corte (esférica)</t>
  </si>
  <si>
    <t xml:space="preserve">Caños PN10 x 6 m</t>
  </si>
  <si>
    <t xml:space="preserve">Adicionales </t>
  </si>
  <si>
    <t xml:space="preserve">Pegamento PVC azul (Tigre) x 500 ml</t>
  </si>
  <si>
    <t xml:space="preserve">Acetona x 1 Litro</t>
  </si>
  <si>
    <t xml:space="preserve">Cinta teflón 1 rollo ALTA DENSIDAD</t>
  </si>
  <si>
    <t xml:space="preserve">Pasta selladora 1 tubo</t>
  </si>
  <si>
    <t xml:space="preserve">Abrazaderas  mm</t>
  </si>
  <si>
    <t xml:space="preserve">Materiales construcción Instalacion</t>
  </si>
  <si>
    <t xml:space="preserve">Tanza roja </t>
  </si>
  <si>
    <t xml:space="preserve">Spray o tiza </t>
  </si>
  <si>
    <t xml:space="preserve">Estacas</t>
  </si>
  <si>
    <t xml:space="preserve">Nylon de 200 Geotextil x m</t>
  </si>
  <si>
    <t xml:space="preserve">Cemento 50 kg bolsas para la cama</t>
  </si>
  <si>
    <t xml:space="preserve">Malla sima 6 mm </t>
  </si>
  <si>
    <t xml:space="preserve">Ladrillos cerámicos (para relleno )</t>
  </si>
  <si>
    <t xml:space="preserve">Acordar con el albañil de ser necesario</t>
  </si>
  <si>
    <t xml:space="preserve">Mixto para relleno </t>
  </si>
  <si>
    <t xml:space="preserve">m3</t>
  </si>
  <si>
    <t xml:space="preserve">Mixto para la cama</t>
  </si>
  <si>
    <t xml:space="preserve">Arena Gruesa m3 </t>
  </si>
  <si>
    <t xml:space="preserve">Arena para tapado de piscina</t>
  </si>
  <si>
    <t xml:space="preserve">Chino Peralta</t>
  </si>
  <si>
    <t xml:space="preserve">Materiales construcción contrapiso y losetas</t>
  </si>
  <si>
    <t xml:space="preserve">Nylon de 200 micr o Geotextil x m</t>
  </si>
  <si>
    <t xml:space="preserve">Cemento 50 kg bolsas instalacion</t>
  </si>
  <si>
    <t xml:space="preserve">Cemento 50 kg bolsas loza</t>
  </si>
  <si>
    <t xml:space="preserve">Pegamento losetas Klaukol </t>
  </si>
  <si>
    <t xml:space="preserve">Alambre liso de atar x KG</t>
  </si>
  <si>
    <t xml:space="preserve">Mixto para CONTRAPISO DE VEREDAS</t>
  </si>
  <si>
    <t xml:space="preserve">Arena para CONTRAPISO m3</t>
  </si>
  <si>
    <t xml:space="preserve">LARGO</t>
  </si>
  <si>
    <t xml:space="preserve">ANCHO</t>
  </si>
  <si>
    <t xml:space="preserve">TIPO 1RA</t>
  </si>
  <si>
    <t xml:space="preserve">PANDO</t>
  </si>
  <si>
    <t xml:space="preserve">HONDO</t>
  </si>
  <si>
    <t xml:space="preserve">ESCALERAS</t>
  </si>
  <si>
    <t xml:space="preserve">SKIMMER</t>
  </si>
  <si>
    <t xml:space="preserve">IZQUIERDO</t>
  </si>
  <si>
    <t xml:space="preserve">DERECHO</t>
  </si>
  <si>
    <t xml:space="preserve">TIPO LOSETA</t>
  </si>
  <si>
    <t xml:space="preserve">ANCHO_AFUERA</t>
  </si>
  <si>
    <t xml:space="preserve">LATERAL</t>
  </si>
  <si>
    <t xml:space="preserve">CANALETAS</t>
  </si>
  <si>
    <t xml:space="preserve">terminacion</t>
  </si>
  <si>
    <t xml:space="preserve">LOMO</t>
  </si>
  <si>
    <t xml:space="preserve">↑ solo colocar o TERMINACION o LOMO</t>
  </si>
  <si>
    <t xml:space="preserve">TERMINACION L</t>
  </si>
  <si>
    <t xml:space="preserve">COMUN</t>
  </si>
  <si>
    <t xml:space="preserve">ESQUINERO_ROBA</t>
  </si>
  <si>
    <t xml:space="preserve">Ancho 1ra Hilada (mm)</t>
  </si>
  <si>
    <t xml:space="preserve">Espesor Contrapiso (mm)</t>
  </si>
  <si>
    <t xml:space="preserve">Kg Cemento / m³</t>
  </si>
  <si>
    <t xml:space="preserve">m³ Arena / m³</t>
  </si>
  <si>
    <t xml:space="preserve">m³ Piedra / m³ (o mixto)</t>
  </si>
  <si>
    <t xml:space="preserve">Largo Malla (mm)</t>
  </si>
  <si>
    <t xml:space="preserve">Ancho Malla (mm)</t>
  </si>
  <si>
    <t xml:space="preserve">Mano de Obra / m² #CHINO#</t>
  </si>
  <si>
    <t xml:space="preserve">Adicionales</t>
  </si>
  <si>
    <t xml:space="preserve">ESCALERA</t>
  </si>
  <si>
    <t xml:space="preserve">C</t>
  </si>
  <si>
    <t xml:space="preserve">R</t>
  </si>
  <si>
    <t xml:space="preserve">JESUS</t>
  </si>
  <si>
    <t xml:space="preserve">CHINO</t>
  </si>
  <si>
    <t xml:space="preserve">unidades</t>
  </si>
  <si>
    <t xml:space="preserve">M² X UNIDAD</t>
  </si>
  <si>
    <t xml:space="preserve">M² TOTAL </t>
  </si>
  <si>
    <t xml:space="preserve">SUPERFICIE DE LA CAMA</t>
  </si>
  <si>
    <t xml:space="preserve">PRIMERA HILADA O ANILLO</t>
  </si>
  <si>
    <t xml:space="preserve">losetas comunes</t>
  </si>
  <si>
    <t xml:space="preserve">VOLUMEN DE LA CAMA M3</t>
  </si>
  <si>
    <t xml:space="preserve">ESQUINEROS</t>
  </si>
  <si>
    <t xml:space="preserve">esquineros</t>
  </si>
  <si>
    <t xml:space="preserve">c</t>
  </si>
  <si>
    <t xml:space="preserve">t</t>
  </si>
  <si>
    <t xml:space="preserve">T</t>
  </si>
  <si>
    <t xml:space="preserve">ARENA M3</t>
  </si>
  <si>
    <t xml:space="preserve">LOSETAS COMUNES</t>
  </si>
  <si>
    <t xml:space="preserve">rejillas</t>
  </si>
  <si>
    <t xml:space="preserve">MIXTO M3</t>
  </si>
  <si>
    <t xml:space="preserve">M2 DE VEREDA COMPLETA </t>
  </si>
  <si>
    <t xml:space="preserve">MALLA</t>
  </si>
  <si>
    <t xml:space="preserve">M3 CONTRAPISO VEREDA</t>
  </si>
  <si>
    <t xml:space="preserve">lomo ballena</t>
  </si>
  <si>
    <t xml:space="preserve">ARENA PARA TAPADO M3</t>
  </si>
  <si>
    <t xml:space="preserve">BOLSAS DE CEMENTO</t>
  </si>
  <si>
    <t xml:space="preserve">TOTAL</t>
  </si>
  <si>
    <t xml:space="preserve">CEMENTO</t>
  </si>
  <si>
    <t xml:space="preserve">TEE</t>
  </si>
  <si>
    <t xml:space="preserve">PIEDRA</t>
  </si>
  <si>
    <t xml:space="preserve">CODO 90º</t>
  </si>
  <si>
    <t xml:space="preserve">CODO 45º</t>
  </si>
  <si>
    <t xml:space="preserve">ALAMBRE #14 x KG</t>
  </si>
  <si>
    <t xml:space="preserve">UNION SIMPLE</t>
  </si>
  <si>
    <t xml:space="preserve">CLAVOS 2,5 PULGADAS KG</t>
  </si>
  <si>
    <t xml:space="preserve">UNION DOBLE </t>
  </si>
  <si>
    <t xml:space="preserve">BOLSAS DE KLAUKOL</t>
  </si>
  <si>
    <t xml:space="preserve">LLAVE ESFERICA</t>
  </si>
  <si>
    <t xml:space="preserve">CAÑO 40MM</t>
  </si>
  <si>
    <t xml:space="preserve">m² de primer anillo perimetral</t>
  </si>
  <si>
    <t xml:space="preserve">PEGAMENTO x 1kg</t>
  </si>
  <si>
    <t xml:space="preserve">MANO DE OBRA CHINO (BASE)</t>
  </si>
  <si>
    <t xml:space="preserve">GEOTEXTIL O GEOMEMBRANA 400MICRONES X METRO</t>
  </si>
  <si>
    <t xml:space="preserve">MANO DE OBRA CHINO (EXTRA)</t>
  </si>
  <si>
    <t xml:space="preserve">CAÑO AZUL 25MM X METRO</t>
  </si>
  <si>
    <t xml:space="preserve">CONECTORES PARA CORRUGADO DE 25MM</t>
  </si>
  <si>
    <t xml:space="preserve">AZCUENAGA</t>
  </si>
  <si>
    <t xml:space="preserve">Pegamento PVC azul (Tigre) x 50 ml</t>
  </si>
  <si>
    <t xml:space="preserve">Mixto para relleno y contrapisos</t>
  </si>
  <si>
    <t xml:space="preserve">Mixto para loza y veredas</t>
  </si>
  <si>
    <t xml:space="preserve">Arena para loza y veredas m3</t>
  </si>
  <si>
    <t xml:space="preserve">TERMINACION</t>
  </si>
  <si>
    <t xml:space="preserve">Dimensión Malla (m)</t>
  </si>
  <si>
    <t xml:space="preserve">Ancho Malla (m)</t>
  </si>
  <si>
    <t xml:space="preserve">-f</t>
  </si>
  <si>
    <t xml:space="preserve">.</t>
  </si>
  <si>
    <t xml:space="preserve">y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</si>
</sst>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[$$-2C0A]#,##0.00;[RED]\([$$-2C0A]#,##0.00\)"/>
    <numFmt numFmtId="167" formatCode="0"/>
    <numFmt numFmtId="168" formatCode="0.00"/>
    <numFmt numFmtId="169" formatCode="0;[RED]\-0"/>
  </numFmts>
  <fonts count="14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theme="1"/>
      <name val="Calibri"/>
      <family val="2"/>
    </font>
    <font>
      <b val="true"/>
      <u val="single"/>
      <sz val="11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Calibri"/>
      <family val="2"/>
    </font>
    <font>
      <sz val="8"/>
      <color theme="1"/>
      <name val="Calibri"/>
      <family val="2"/>
    </font>
    <font>
      <b val="true"/>
      <sz val="8"/>
      <color theme="1"/>
      <name val="Calibri"/>
      <family val="2"/>
    </font>
    <font>
      <sz val="8"/>
      <color theme="1"/>
      <name val="Adwaita Mono"/>
      <family val="0"/>
    </font>
    <font>
      <b val="true"/>
      <u val="single"/>
      <sz val="8"/>
      <color theme="1"/>
      <name val="Calibri"/>
      <family val="2"/>
    </font>
    <font>
      <b val="true"/>
      <sz val="10"/>
      <color theme="1"/>
      <name val="Calibri"/>
      <family val="2"/>
    </font>
    <font>
      <i val="true"/>
      <sz val="10"/>
      <color theme="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CC"/>
        <bgColor rgb="FFF0FF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5FFFA"/>
      </patternFill>
    </fill>
    <fill>
      <patternFill patternType="solid">
        <fgColor rgb="FF000000"/>
        <bgColor rgb="FF003300"/>
      </patternFill>
    </fill>
    <fill>
      <patternFill patternType="solid">
        <fgColor rgb="FF90EE90"/>
        <bgColor rgb="FF98FB98"/>
      </patternFill>
    </fill>
    <fill>
      <patternFill patternType="solid">
        <fgColor rgb="FF7CFC00"/>
        <bgColor rgb="FF90EE90"/>
      </patternFill>
    </fill>
    <fill>
      <patternFill patternType="solid">
        <fgColor rgb="FFDAA520"/>
        <bgColor rgb="FFFFCC00"/>
      </patternFill>
    </fill>
    <fill>
      <patternFill patternType="solid">
        <fgColor rgb="FFFFE4E1"/>
        <bgColor rgb="FFFFE4C4"/>
      </patternFill>
    </fill>
    <fill>
      <patternFill patternType="solid">
        <fgColor rgb="FFFFE4C4"/>
        <bgColor rgb="FFFFE4E1"/>
      </patternFill>
    </fill>
    <fill>
      <patternFill patternType="solid">
        <fgColor rgb="FFFF1493"/>
        <bgColor rgb="FFFF00FF"/>
      </patternFill>
    </fill>
    <fill>
      <patternFill patternType="solid">
        <fgColor rgb="FF48D1CC"/>
        <bgColor rgb="FF66CDAA"/>
      </patternFill>
    </fill>
    <fill>
      <patternFill patternType="solid">
        <fgColor rgb="FF00FA9A"/>
        <bgColor rgb="FF00FFFF"/>
      </patternFill>
    </fill>
    <fill>
      <patternFill patternType="solid">
        <fgColor rgb="FFE0FFFF"/>
        <bgColor rgb="FFF0FFF0"/>
      </patternFill>
    </fill>
    <fill>
      <patternFill patternType="solid">
        <fgColor rgb="FFF0FFF0"/>
        <bgColor rgb="FFF5FFFA"/>
      </patternFill>
    </fill>
    <fill>
      <patternFill patternType="solid">
        <fgColor rgb="FFFF69B4"/>
        <bgColor rgb="FFFF99CC"/>
      </patternFill>
    </fill>
    <fill>
      <patternFill patternType="solid">
        <fgColor rgb="FF66CDAA"/>
        <bgColor rgb="FF48D1CC"/>
      </patternFill>
    </fill>
    <fill>
      <patternFill patternType="solid">
        <fgColor rgb="FF98FB98"/>
        <bgColor rgb="FF90EE90"/>
      </patternFill>
    </fill>
    <fill>
      <patternFill patternType="solid">
        <fgColor rgb="FFF5FFFA"/>
        <bgColor rgb="FFF0FFF0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>
        <color rgb="FFA52A2A"/>
      </left>
      <right style="thin">
        <color rgb="FFA52A2A"/>
      </right>
      <top style="thin">
        <color rgb="FFA52A2A"/>
      </top>
      <bottom style="thin">
        <color rgb="FFA52A2A"/>
      </bottom>
      <diagonal/>
    </border>
    <border diagonalUp="false" diagonalDown="false">
      <left/>
      <right style="thin">
        <color rgb="FFA52A2A"/>
      </right>
      <top style="thin">
        <color rgb="FFA52A2A"/>
      </top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justify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8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9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1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1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1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14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" fillId="14" borderId="2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3" fillId="4" borderId="2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15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7" fillId="15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8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1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14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7" fillId="4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3" fillId="15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" fillId="15" borderId="2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14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7" fillId="15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7" fillId="1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15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7" fillId="1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15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7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4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13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" fillId="4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1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17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18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3" fillId="0" borderId="2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19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7" fillId="19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19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9" fillId="1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7" fillId="14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7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7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3" fillId="19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" fillId="19" borderId="2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7" fillId="19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7" fillId="19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19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7" fillId="1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19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Footnote 1" xfId="20"/>
    <cellStyle name="Note 2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1493"/>
      <rgbColor rgb="FF00FA9A"/>
      <rgbColor rgb="FF800000"/>
      <rgbColor rgb="FF008000"/>
      <rgbColor rgb="FF000080"/>
      <rgbColor rgb="FF808000"/>
      <rgbColor rgb="FF800080"/>
      <rgbColor rgb="FF008080"/>
      <rgbColor rgb="FF90EE90"/>
      <rgbColor rgb="FF808080"/>
      <rgbColor rgb="FF9999FF"/>
      <rgbColor rgb="FF993366"/>
      <rgbColor rgb="FFFFFFCC"/>
      <rgbColor rgb="FFE0FFFF"/>
      <rgbColor rgb="FF660066"/>
      <rgbColor rgb="FFFF69B4"/>
      <rgbColor rgb="FF0066CC"/>
      <rgbColor rgb="FF98FB9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FF0"/>
      <rgbColor rgb="FFF5FFFA"/>
      <rgbColor rgb="FFFFE4E1"/>
      <rgbColor rgb="FF66CDAA"/>
      <rgbColor rgb="FFFF99CC"/>
      <rgbColor rgb="FFCC99FF"/>
      <rgbColor rgb="FFFFE4C4"/>
      <rgbColor rgb="FF3366FF"/>
      <rgbColor rgb="FF48D1CC"/>
      <rgbColor rgb="FF7CFC00"/>
      <rgbColor rgb="FFFFCC00"/>
      <rgbColor rgb="FFDAA520"/>
      <rgbColor rgb="FFFF6600"/>
      <rgbColor rgb="FF666699"/>
      <rgbColor rgb="FF969696"/>
      <rgbColor rgb="FF003366"/>
      <rgbColor rgb="FF339966"/>
      <rgbColor rgb="FF003300"/>
      <rgbColor rgb="FF333300"/>
      <rgbColor rgb="FFA52A2A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61"/>
  <sheetViews>
    <sheetView showFormulas="false" showGridLines="true" showRowColHeaders="true" showZeros="true" rightToLeft="false" tabSelected="false" showOutlineSymbols="true" defaultGridColor="true" view="normal" topLeftCell="A38" colorId="64" zoomScale="103" zoomScaleNormal="103" zoomScalePageLayoutView="100" workbookViewId="0">
      <selection pane="topLeft" activeCell="E54" activeCellId="0" sqref="E54"/>
    </sheetView>
  </sheetViews>
  <sheetFormatPr defaultColWidth="10.59765625" defaultRowHeight="12.8" customHeight="true" zeroHeight="false" outlineLevelRow="0" outlineLevelCol="0"/>
  <cols>
    <col collapsed="false" customWidth="true" hidden="false" outlineLevel="0" max="2" min="2" style="1" width="31.72"/>
    <col collapsed="false" customWidth="true" hidden="false" outlineLevel="0" max="4" min="3" style="1" width="12.57"/>
    <col collapsed="false" customWidth="true" hidden="false" outlineLevel="0" max="5" min="5" style="2" width="12.57"/>
    <col collapsed="false" customWidth="true" hidden="false" outlineLevel="0" max="9" min="9" style="1" width="15.48"/>
    <col collapsed="false" customWidth="true" hidden="false" outlineLevel="0" max="10" min="10" style="1" width="15.36"/>
    <col collapsed="false" customWidth="true" hidden="false" outlineLevel="0" max="13" min="13" style="1" width="13.39"/>
    <col collapsed="false" customWidth="true" hidden="false" outlineLevel="0" max="14" min="14" style="1" width="12.54"/>
    <col collapsed="false" customWidth="true" hidden="false" outlineLevel="0" max="15" min="15" style="1" width="10.94"/>
    <col collapsed="false" customWidth="true" hidden="false" outlineLevel="0" max="16" min="16" style="1" width="11.44"/>
    <col collapsed="false" customWidth="true" hidden="false" outlineLevel="0" max="17" min="17" style="1" width="11.31"/>
    <col collapsed="false" customWidth="true" hidden="false" outlineLevel="0" max="18" min="18" style="1" width="16.46"/>
    <col collapsed="false" customWidth="true" hidden="false" outlineLevel="0" max="19" min="19" style="1" width="11.44"/>
  </cols>
  <sheetData>
    <row r="1" customFormat="false" ht="13.8" hidden="false" customHeight="false" outlineLevel="0" collapsed="false"/>
    <row r="2" customFormat="false" ht="13.8" hidden="false" customHeight="false" outlineLevel="0" collapsed="false">
      <c r="B2" s="3" t="s">
        <v>0</v>
      </c>
      <c r="C2" s="3"/>
      <c r="D2" s="3"/>
    </row>
    <row r="3" customFormat="false" ht="13.8" hidden="false" customHeight="false" outlineLevel="0" collapsed="false">
      <c r="B3" s="3"/>
      <c r="C3" s="3"/>
      <c r="D3" s="3"/>
    </row>
    <row r="4" customFormat="false" ht="13.8" hidden="false" customHeight="false" outlineLevel="0" collapsed="false">
      <c r="B4" s="4" t="s">
        <v>1</v>
      </c>
      <c r="C4" s="5" t="n">
        <v>45918</v>
      </c>
    </row>
    <row r="5" customFormat="false" ht="13.8" hidden="false" customHeight="false" outlineLevel="0" collapsed="false">
      <c r="B5" s="4" t="s">
        <v>2</v>
      </c>
      <c r="C5" s="1" t="s">
        <v>3</v>
      </c>
    </row>
    <row r="6" customFormat="false" ht="13.8" hidden="false" customHeight="false" outlineLevel="0" collapsed="false">
      <c r="B6" s="4" t="s">
        <v>4</v>
      </c>
      <c r="C6" s="1" t="s">
        <v>5</v>
      </c>
    </row>
    <row r="7" customFormat="false" ht="13.8" hidden="false" customHeight="false" outlineLevel="0" collapsed="false">
      <c r="B7" s="4" t="s">
        <v>6</v>
      </c>
      <c r="C7" s="1" t="s">
        <v>7</v>
      </c>
    </row>
    <row r="8" customFormat="false" ht="13.8" hidden="false" customHeight="false" outlineLevel="0" collapsed="false"/>
    <row r="9" customFormat="false" ht="16.3" hidden="false" customHeight="false" outlineLevel="0" collapsed="false">
      <c r="B9" s="6" t="s">
        <v>8</v>
      </c>
      <c r="C9" s="6" t="s">
        <v>9</v>
      </c>
      <c r="D9" s="6" t="s">
        <v>10</v>
      </c>
      <c r="E9" s="7" t="s">
        <v>11</v>
      </c>
    </row>
    <row r="10" customFormat="false" ht="13.8" hidden="false" customHeight="false" outlineLevel="0" collapsed="false"/>
    <row r="11" customFormat="false" ht="13.8" hidden="false" customHeight="false" outlineLevel="0" collapsed="false">
      <c r="B11" s="8" t="s">
        <v>12</v>
      </c>
      <c r="C11" s="9"/>
      <c r="D11" s="9"/>
      <c r="E11" s="10"/>
      <c r="G11" s="3"/>
    </row>
    <row r="12" customFormat="false" ht="13.8" hidden="false" customHeight="false" outlineLevel="0" collapsed="false">
      <c r="B12" s="11"/>
      <c r="E12" s="12"/>
      <c r="G12" s="3"/>
      <c r="I12" s="13"/>
      <c r="J12" s="13"/>
    </row>
    <row r="13" customFormat="false" ht="13.8" hidden="false" customHeight="false" outlineLevel="0" collapsed="false">
      <c r="B13" s="14" t="s">
        <v>13</v>
      </c>
      <c r="E13" s="12"/>
      <c r="G13" s="3"/>
    </row>
    <row r="14" customFormat="false" ht="13.8" hidden="false" customHeight="false" outlineLevel="0" collapsed="false">
      <c r="B14" s="15" t="s">
        <v>14</v>
      </c>
      <c r="E14" s="12" t="n">
        <v>50</v>
      </c>
    </row>
    <row r="15" customFormat="false" ht="13.8" hidden="false" customHeight="false" outlineLevel="0" collapsed="false">
      <c r="B15" s="15" t="s">
        <v>15</v>
      </c>
      <c r="E15" s="12" t="n">
        <v>40</v>
      </c>
    </row>
    <row r="16" customFormat="false" ht="13.8" hidden="false" customHeight="false" outlineLevel="0" collapsed="false">
      <c r="B16" s="15" t="s">
        <v>16</v>
      </c>
      <c r="E16" s="12" t="n">
        <v>10</v>
      </c>
    </row>
    <row r="17" customFormat="false" ht="13.8" hidden="false" customHeight="false" outlineLevel="0" collapsed="false">
      <c r="B17" s="15" t="s">
        <v>17</v>
      </c>
      <c r="E17" s="12" t="n">
        <v>6</v>
      </c>
    </row>
    <row r="18" customFormat="false" ht="13.8" hidden="false" customHeight="false" outlineLevel="0" collapsed="false">
      <c r="B18" s="15" t="s">
        <v>18</v>
      </c>
      <c r="E18" s="12" t="n">
        <v>14</v>
      </c>
    </row>
    <row r="19" customFormat="false" ht="13.8" hidden="false" customHeight="false" outlineLevel="0" collapsed="false">
      <c r="B19" s="15"/>
      <c r="E19" s="12"/>
    </row>
    <row r="20" customFormat="false" ht="13.8" hidden="false" customHeight="false" outlineLevel="0" collapsed="false">
      <c r="B20" s="15"/>
      <c r="E20" s="12"/>
    </row>
    <row r="21" customFormat="false" ht="23.25" hidden="false" customHeight="true" outlineLevel="0" collapsed="false">
      <c r="B21" s="11" t="s">
        <v>19</v>
      </c>
      <c r="C21" s="3"/>
      <c r="D21" s="3"/>
      <c r="E21" s="12"/>
    </row>
    <row r="22" customFormat="false" ht="13.8" hidden="false" customHeight="false" outlineLevel="0" collapsed="false">
      <c r="B22" s="15" t="s">
        <v>20</v>
      </c>
      <c r="E22" s="12" t="n">
        <v>2</v>
      </c>
    </row>
    <row r="23" customFormat="false" ht="13.8" hidden="false" customHeight="false" outlineLevel="0" collapsed="false">
      <c r="B23" s="15" t="s">
        <v>21</v>
      </c>
      <c r="E23" s="12" t="n">
        <v>1</v>
      </c>
    </row>
    <row r="24" customFormat="false" ht="13.8" hidden="false" customHeight="false" outlineLevel="0" collapsed="false">
      <c r="B24" s="15" t="s">
        <v>22</v>
      </c>
      <c r="E24" s="12" t="n">
        <v>2</v>
      </c>
    </row>
    <row r="25" customFormat="false" ht="13.8" hidden="false" customHeight="false" outlineLevel="0" collapsed="false">
      <c r="B25" s="15" t="s">
        <v>23</v>
      </c>
      <c r="E25" s="12" t="n">
        <v>1</v>
      </c>
    </row>
    <row r="26" customFormat="false" ht="13.8" hidden="false" customHeight="false" outlineLevel="0" collapsed="false">
      <c r="B26" s="15" t="s">
        <v>24</v>
      </c>
      <c r="E26" s="12" t="n">
        <v>0</v>
      </c>
    </row>
    <row r="27" customFormat="false" ht="13.8" hidden="false" customHeight="false" outlineLevel="0" collapsed="false">
      <c r="B27" s="15"/>
      <c r="E27" s="12"/>
    </row>
    <row r="28" customFormat="false" ht="13.8" hidden="false" customHeight="false" outlineLevel="0" collapsed="false">
      <c r="B28" s="15"/>
      <c r="E28" s="12"/>
    </row>
    <row r="29" customFormat="false" ht="13.8" hidden="false" customHeight="false" outlineLevel="0" collapsed="false">
      <c r="B29" s="14" t="s">
        <v>25</v>
      </c>
      <c r="E29" s="16"/>
    </row>
    <row r="30" customFormat="false" ht="13.8" hidden="false" customHeight="false" outlineLevel="0" collapsed="false">
      <c r="B30" s="15" t="s">
        <v>26</v>
      </c>
      <c r="E30" s="12" t="n">
        <v>1</v>
      </c>
    </row>
    <row r="31" customFormat="false" ht="13.8" hidden="false" customHeight="false" outlineLevel="0" collapsed="false">
      <c r="B31" s="15" t="s">
        <v>27</v>
      </c>
      <c r="E31" s="12" t="n">
        <v>1</v>
      </c>
    </row>
    <row r="32" customFormat="false" ht="13.8" hidden="false" customHeight="false" outlineLevel="0" collapsed="false">
      <c r="B32" s="15" t="s">
        <v>28</v>
      </c>
      <c r="E32" s="12" t="n">
        <v>4</v>
      </c>
    </row>
    <row r="33" customFormat="false" ht="13.8" hidden="false" customHeight="false" outlineLevel="0" collapsed="false">
      <c r="B33" s="15" t="s">
        <v>29</v>
      </c>
      <c r="E33" s="12" t="n">
        <v>8</v>
      </c>
    </row>
    <row r="34" customFormat="false" ht="13.8" hidden="false" customHeight="false" outlineLevel="0" collapsed="false">
      <c r="B34" s="15" t="s">
        <v>30</v>
      </c>
      <c r="E34" s="12" t="n">
        <v>8</v>
      </c>
    </row>
    <row r="35" customFormat="false" ht="16.3" hidden="false" customHeight="false" outlineLevel="0" collapsed="false">
      <c r="B35" s="17" t="s">
        <v>31</v>
      </c>
      <c r="C35" s="18"/>
      <c r="E35" s="19" t="n">
        <v>1</v>
      </c>
    </row>
    <row r="36" customFormat="false" ht="46.25" hidden="false" customHeight="false" outlineLevel="0" collapsed="false">
      <c r="B36" s="17" t="s">
        <v>32</v>
      </c>
      <c r="C36" s="18"/>
      <c r="E36" s="20" t="s">
        <v>33</v>
      </c>
    </row>
    <row r="37" customFormat="false" ht="16.3" hidden="false" customHeight="false" outlineLevel="0" collapsed="false">
      <c r="B37" s="17" t="s">
        <v>34</v>
      </c>
      <c r="C37" s="18" t="s">
        <v>35</v>
      </c>
      <c r="E37" s="19" t="n">
        <v>3</v>
      </c>
    </row>
    <row r="38" customFormat="false" ht="16.3" hidden="false" customHeight="false" outlineLevel="0" collapsed="false">
      <c r="B38" s="17" t="s">
        <v>36</v>
      </c>
      <c r="C38" s="18" t="s">
        <v>35</v>
      </c>
      <c r="E38" s="19" t="n">
        <v>1</v>
      </c>
    </row>
    <row r="39" customFormat="false" ht="16.3" hidden="false" customHeight="false" outlineLevel="0" collapsed="false">
      <c r="B39" s="15" t="s">
        <v>37</v>
      </c>
      <c r="C39" s="18" t="s">
        <v>35</v>
      </c>
      <c r="E39" s="12" t="n">
        <v>3</v>
      </c>
    </row>
    <row r="40" customFormat="false" ht="16.3" hidden="false" customHeight="false" outlineLevel="0" collapsed="false">
      <c r="B40" s="21" t="s">
        <v>38</v>
      </c>
      <c r="C40" s="22" t="s">
        <v>35</v>
      </c>
      <c r="D40" s="23"/>
      <c r="E40" s="24" t="n">
        <v>2</v>
      </c>
    </row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>
      <c r="B44" s="25"/>
      <c r="C44" s="25"/>
      <c r="D44" s="25"/>
      <c r="E44" s="26"/>
    </row>
    <row r="45" customFormat="false" ht="13.8" hidden="false" customHeight="false" outlineLevel="0" collapsed="false">
      <c r="B45" s="8" t="s">
        <v>39</v>
      </c>
      <c r="C45" s="9"/>
      <c r="D45" s="9"/>
      <c r="E45" s="10"/>
    </row>
    <row r="46" customFormat="false" ht="13.8" hidden="false" customHeight="false" outlineLevel="0" collapsed="false">
      <c r="B46" s="11"/>
      <c r="E46" s="12"/>
    </row>
    <row r="47" customFormat="false" ht="13.8" hidden="false" customHeight="false" outlineLevel="0" collapsed="false">
      <c r="B47" s="14" t="s">
        <v>40</v>
      </c>
      <c r="C47" s="3"/>
      <c r="E47" s="16"/>
    </row>
    <row r="48" customFormat="false" ht="13.8" hidden="false" customHeight="false" outlineLevel="0" collapsed="false">
      <c r="B48" s="15" t="s">
        <v>26</v>
      </c>
      <c r="E48" s="12" t="n">
        <v>1</v>
      </c>
    </row>
    <row r="49" customFormat="false" ht="13.8" hidden="false" customHeight="false" outlineLevel="0" collapsed="false">
      <c r="B49" s="15" t="s">
        <v>27</v>
      </c>
      <c r="E49" s="12" t="n">
        <v>1</v>
      </c>
    </row>
    <row r="50" customFormat="false" ht="13.8" hidden="false" customHeight="false" outlineLevel="0" collapsed="false">
      <c r="B50" s="15" t="s">
        <v>28</v>
      </c>
      <c r="E50" s="12" t="n">
        <v>4</v>
      </c>
    </row>
    <row r="51" customFormat="false" ht="13.8" hidden="false" customHeight="false" outlineLevel="0" collapsed="false">
      <c r="B51" s="15" t="s">
        <v>41</v>
      </c>
      <c r="E51" s="12" t="n">
        <v>8</v>
      </c>
    </row>
    <row r="52" customFormat="false" ht="13.8" hidden="false" customHeight="false" outlineLevel="0" collapsed="false">
      <c r="B52" s="15" t="s">
        <v>42</v>
      </c>
      <c r="E52" s="12" t="n">
        <v>8</v>
      </c>
    </row>
    <row r="53" customFormat="false" ht="13.8" hidden="false" customHeight="false" outlineLevel="0" collapsed="false">
      <c r="B53" s="15" t="s">
        <v>43</v>
      </c>
      <c r="E53" s="12" t="n">
        <v>38</v>
      </c>
    </row>
    <row r="54" customFormat="false" ht="16.3" hidden="false" customHeight="false" outlineLevel="0" collapsed="false">
      <c r="B54" s="17" t="s">
        <v>44</v>
      </c>
      <c r="C54" s="18"/>
      <c r="E54" s="19" t="n">
        <v>6</v>
      </c>
    </row>
    <row r="55" customFormat="false" ht="16.3" hidden="false" customHeight="false" outlineLevel="0" collapsed="false">
      <c r="B55" s="17" t="s">
        <v>31</v>
      </c>
      <c r="C55" s="18"/>
      <c r="E55" s="27" t="n">
        <v>4</v>
      </c>
    </row>
    <row r="56" customFormat="false" ht="16.3" hidden="false" customHeight="false" outlineLevel="0" collapsed="false">
      <c r="B56" s="17" t="s">
        <v>45</v>
      </c>
      <c r="C56" s="18"/>
      <c r="E56" s="19" t="n">
        <v>1</v>
      </c>
    </row>
    <row r="57" customFormat="false" ht="46.25" hidden="false" customHeight="false" outlineLevel="0" collapsed="false">
      <c r="B57" s="17" t="s">
        <v>32</v>
      </c>
      <c r="C57" s="18"/>
      <c r="E57" s="20" t="s">
        <v>33</v>
      </c>
    </row>
    <row r="58" customFormat="false" ht="13.8" hidden="false" customHeight="false" outlineLevel="0" collapsed="false">
      <c r="B58" s="17"/>
      <c r="C58" s="18"/>
      <c r="E58" s="19"/>
    </row>
    <row r="59" customFormat="false" ht="31.3" hidden="false" customHeight="false" outlineLevel="0" collapsed="false">
      <c r="B59" s="17" t="s">
        <v>46</v>
      </c>
      <c r="C59" s="18" t="s">
        <v>35</v>
      </c>
      <c r="E59" s="19" t="n">
        <v>3</v>
      </c>
    </row>
    <row r="60" customFormat="false" ht="13.8" hidden="false" customHeight="false" outlineLevel="0" collapsed="false">
      <c r="B60" s="15"/>
      <c r="C60" s="18"/>
      <c r="E60" s="12"/>
    </row>
    <row r="61" customFormat="false" ht="16.3" hidden="false" customHeight="false" outlineLevel="0" collapsed="false">
      <c r="B61" s="21" t="s">
        <v>47</v>
      </c>
      <c r="C61" s="22" t="s">
        <v>35</v>
      </c>
      <c r="D61" s="23"/>
      <c r="E61" s="24" t="n">
        <v>3</v>
      </c>
    </row>
  </sheetData>
  <mergeCells count="1">
    <mergeCell ref="I12:J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55"/>
  <sheetViews>
    <sheetView showFormulas="false" showGridLines="true" showRowColHeaders="true" showZeros="true" rightToLeft="false" tabSelected="true" showOutlineSymbols="true" defaultGridColor="true" view="normal" topLeftCell="A1" colorId="64" zoomScale="103" zoomScaleNormal="103" zoomScalePageLayoutView="100" workbookViewId="0">
      <selection pane="topLeft" activeCell="G11" activeCellId="0" sqref="G11"/>
    </sheetView>
  </sheetViews>
  <sheetFormatPr defaultColWidth="10.16015625" defaultRowHeight="12.8" customHeight="true" zeroHeight="false" outlineLevelRow="0" outlineLevelCol="0"/>
  <cols>
    <col collapsed="false" customWidth="true" hidden="false" outlineLevel="0" max="1" min="1" style="28" width="34.53"/>
    <col collapsed="false" customWidth="true" hidden="false" outlineLevel="0" max="2" min="2" style="28" width="12.82"/>
    <col collapsed="false" customWidth="true" hidden="false" outlineLevel="0" max="3" min="3" style="29" width="1.12"/>
    <col collapsed="false" customWidth="true" hidden="false" outlineLevel="0" max="4" min="4" style="30" width="15.75"/>
    <col collapsed="false" customWidth="true" hidden="false" outlineLevel="0" max="5" min="5" style="30" width="12.83"/>
    <col collapsed="false" customWidth="false" hidden="false" outlineLevel="0" max="10" min="6" style="30" width="10.16"/>
    <col collapsed="false" customWidth="true" hidden="false" outlineLevel="0" max="11" min="11" style="30" width="12.9"/>
    <col collapsed="false" customWidth="false" hidden="false" outlineLevel="0" max="14" min="12" style="30" width="10.16"/>
    <col collapsed="false" customWidth="true" hidden="false" outlineLevel="0" max="15" min="15" style="31" width="1.26"/>
    <col collapsed="false" customWidth="true" hidden="false" outlineLevel="0" max="16" min="16" style="30" width="9.47"/>
    <col collapsed="false" customWidth="true" hidden="false" outlineLevel="0" max="17" min="17" style="30" width="7.21"/>
    <col collapsed="false" customWidth="false" hidden="false" outlineLevel="0" max="19" min="18" style="30" width="10.16"/>
    <col collapsed="false" customWidth="true" hidden="false" outlineLevel="0" max="20" min="20" style="30" width="7.12"/>
    <col collapsed="false" customWidth="false" hidden="false" outlineLevel="0" max="22" min="21" style="30" width="10.16"/>
    <col collapsed="false" customWidth="true" hidden="false" outlineLevel="0" max="23" min="23" style="30" width="8.32"/>
    <col collapsed="false" customWidth="true" hidden="false" outlineLevel="0" max="24" min="24" style="30" width="5.5"/>
    <col collapsed="false" customWidth="true" hidden="false" outlineLevel="0" max="25" min="25" style="30" width="4.59"/>
    <col collapsed="false" customWidth="false" hidden="false" outlineLevel="0" max="27" min="26" style="30" width="10.16"/>
    <col collapsed="false" customWidth="false" hidden="false" outlineLevel="0" max="16384" min="29" style="30" width="10.16"/>
  </cols>
  <sheetData>
    <row r="1" customFormat="false" ht="13.8" hidden="false" customHeight="false" outlineLevel="0" collapsed="false">
      <c r="A1" s="28" t="s">
        <v>48</v>
      </c>
      <c r="B1" s="28" t="s">
        <v>49</v>
      </c>
      <c r="D1" s="30" t="s">
        <v>50</v>
      </c>
      <c r="E1" s="30" t="s">
        <v>51</v>
      </c>
      <c r="F1" s="30" t="s">
        <v>52</v>
      </c>
      <c r="G1" s="30" t="s">
        <v>53</v>
      </c>
      <c r="H1" s="30" t="s">
        <v>54</v>
      </c>
      <c r="I1" s="30" t="s">
        <v>55</v>
      </c>
      <c r="J1" s="30" t="s">
        <v>56</v>
      </c>
      <c r="K1" s="30" t="s">
        <v>57</v>
      </c>
      <c r="L1" s="30" t="s">
        <v>58</v>
      </c>
      <c r="M1" s="30" t="s">
        <v>59</v>
      </c>
      <c r="N1" s="30" t="s">
        <v>60</v>
      </c>
    </row>
    <row r="2" customFormat="false" ht="13.8" hidden="false" customHeight="false" outlineLevel="0" collapsed="false">
      <c r="A2" s="32" t="n">
        <v>7300</v>
      </c>
      <c r="B2" s="32" t="n">
        <v>3500</v>
      </c>
      <c r="D2" s="33" t="s">
        <v>61</v>
      </c>
      <c r="E2" s="34" t="n">
        <v>1300</v>
      </c>
      <c r="F2" s="34" t="n">
        <v>1400</v>
      </c>
      <c r="G2" s="34" t="n">
        <v>4</v>
      </c>
      <c r="H2" s="34" t="n">
        <v>4</v>
      </c>
      <c r="I2" s="34" t="n">
        <v>1</v>
      </c>
      <c r="J2" s="34" t="n">
        <v>1</v>
      </c>
      <c r="K2" s="34" t="s">
        <v>62</v>
      </c>
      <c r="L2" s="34" t="n">
        <v>400</v>
      </c>
      <c r="M2" s="34" t="n">
        <v>500</v>
      </c>
      <c r="N2" s="34" t="n">
        <v>24</v>
      </c>
    </row>
    <row r="3" customFormat="false" ht="22.15" hidden="false" customHeight="false" outlineLevel="0" collapsed="false">
      <c r="D3" s="35" t="s">
        <v>63</v>
      </c>
      <c r="K3" s="34" t="s">
        <v>64</v>
      </c>
      <c r="L3" s="34" t="n">
        <v>480</v>
      </c>
      <c r="M3" s="34" t="n">
        <v>500</v>
      </c>
    </row>
    <row r="4" customFormat="false" ht="13.8" hidden="false" customHeight="false" outlineLevel="0" collapsed="false">
      <c r="K4" s="34" t="s">
        <v>65</v>
      </c>
      <c r="L4" s="34" t="n">
        <v>500</v>
      </c>
      <c r="M4" s="34" t="n">
        <v>500</v>
      </c>
    </row>
    <row r="5" customFormat="false" ht="13.8" hidden="false" customHeight="false" outlineLevel="0" collapsed="false">
      <c r="K5" s="34" t="s">
        <v>66</v>
      </c>
      <c r="L5" s="34" t="n">
        <v>50</v>
      </c>
      <c r="M5" s="34" t="n">
        <v>50</v>
      </c>
    </row>
    <row r="6" customFormat="false" ht="12.8" hidden="false" customHeight="true" outlineLevel="0" collapsed="false">
      <c r="D6" s="36"/>
      <c r="M6" s="30" t="n">
        <v>5</v>
      </c>
    </row>
    <row r="7" customFormat="false" ht="34.75" hidden="false" customHeight="true" outlineLevel="0" collapsed="false">
      <c r="A7" s="0"/>
      <c r="B7" s="0"/>
      <c r="C7" s="37"/>
      <c r="D7" s="38" t="s">
        <v>67</v>
      </c>
      <c r="E7" s="38" t="s">
        <v>68</v>
      </c>
      <c r="F7" s="38" t="s">
        <v>69</v>
      </c>
      <c r="G7" s="38" t="s">
        <v>70</v>
      </c>
      <c r="H7" s="38" t="s">
        <v>71</v>
      </c>
      <c r="I7" s="38" t="s">
        <v>72</v>
      </c>
      <c r="J7" s="38" t="s">
        <v>73</v>
      </c>
      <c r="K7" s="38" t="s">
        <v>74</v>
      </c>
      <c r="L7" s="38" t="s">
        <v>75</v>
      </c>
    </row>
    <row r="8" customFormat="false" ht="13.8" hidden="false" customHeight="false" outlineLevel="0" collapsed="false">
      <c r="A8" s="0"/>
      <c r="B8" s="0"/>
      <c r="C8" s="37"/>
      <c r="D8" s="39" t="n">
        <v>480</v>
      </c>
      <c r="E8" s="40" t="n">
        <v>100</v>
      </c>
      <c r="F8" s="40" t="n">
        <v>7</v>
      </c>
      <c r="G8" s="40" t="n">
        <v>0.6</v>
      </c>
      <c r="H8" s="40" t="n">
        <v>0.8</v>
      </c>
      <c r="I8" s="40" t="n">
        <v>6000</v>
      </c>
      <c r="J8" s="40" t="n">
        <v>2000</v>
      </c>
      <c r="K8" s="41" t="n">
        <v>45000</v>
      </c>
      <c r="L8" s="40" t="n">
        <v>0</v>
      </c>
      <c r="T8" s="30" t="s">
        <v>76</v>
      </c>
    </row>
    <row r="9" customFormat="false" ht="18.65" hidden="false" customHeight="true" outlineLevel="0" collapsed="false">
      <c r="A9" s="0"/>
      <c r="B9" s="0"/>
      <c r="C9" s="37"/>
      <c r="D9" s="40"/>
      <c r="E9" s="42" t="n">
        <v>100</v>
      </c>
      <c r="F9" s="40" t="n">
        <v>25</v>
      </c>
      <c r="G9" s="40" t="n">
        <v>0.7</v>
      </c>
      <c r="H9" s="40" t="n">
        <v>0.3</v>
      </c>
      <c r="I9" s="40"/>
      <c r="J9" s="40"/>
      <c r="K9" s="43" t="n">
        <f aca="false">ROUND(   (     ( (A2+(I2+J2)*500+2*$D$8)*(B2+(G2+H2)*500+2*$D$8) - A2*B2 )/1000000   )   * $K$8 * (1+$L$8) ,2)</f>
        <v>2375532</v>
      </c>
      <c r="L9" s="40"/>
      <c r="P9" s="44"/>
      <c r="Q9" s="44"/>
      <c r="R9" s="44"/>
      <c r="S9" s="44"/>
      <c r="T9" s="44"/>
      <c r="U9" s="44"/>
      <c r="V9" s="44"/>
      <c r="W9" s="44"/>
      <c r="X9" s="44"/>
      <c r="Y9" s="44"/>
      <c r="Z9" s="45"/>
    </row>
    <row r="10" customFormat="false" ht="13.8" hidden="false" customHeight="false" outlineLevel="0" collapsed="false">
      <c r="A10" s="0"/>
      <c r="B10" s="0"/>
      <c r="C10" s="37"/>
      <c r="D10" s="40"/>
      <c r="E10" s="40" t="n">
        <v>50</v>
      </c>
      <c r="F10" s="40"/>
      <c r="G10" s="40" t="n">
        <v>1</v>
      </c>
      <c r="H10" s="40" t="n">
        <f aca="false">0.6</f>
        <v>0.6</v>
      </c>
      <c r="I10" s="40"/>
      <c r="J10" s="40"/>
      <c r="K10" s="40"/>
      <c r="L10" s="40"/>
      <c r="P10" s="46"/>
      <c r="Q10" s="46"/>
      <c r="R10" s="47"/>
      <c r="S10" s="47"/>
      <c r="T10" s="47"/>
      <c r="U10" s="47"/>
      <c r="V10" s="47"/>
      <c r="W10" s="47"/>
      <c r="X10" s="47"/>
      <c r="Y10" s="46"/>
      <c r="Z10" s="46"/>
    </row>
    <row r="11" customFormat="false" ht="13.8" hidden="false" customHeight="false" outlineLevel="0" collapsed="false">
      <c r="A11" s="0"/>
      <c r="B11" s="0"/>
      <c r="C11" s="37"/>
      <c r="D11" s="48"/>
      <c r="E11" s="48"/>
      <c r="P11" s="46" t="s">
        <v>77</v>
      </c>
      <c r="Q11" s="46" t="s">
        <v>77</v>
      </c>
      <c r="R11" s="47" t="s">
        <v>77</v>
      </c>
      <c r="S11" s="47" t="s">
        <v>77</v>
      </c>
      <c r="T11" s="47" t="s">
        <v>77</v>
      </c>
      <c r="U11" s="47" t="s">
        <v>77</v>
      </c>
      <c r="V11" s="47" t="s">
        <v>77</v>
      </c>
      <c r="W11" s="47" t="s">
        <v>77</v>
      </c>
      <c r="X11" s="47" t="s">
        <v>77</v>
      </c>
      <c r="Y11" s="46" t="s">
        <v>77</v>
      </c>
      <c r="Z11" s="46" t="s">
        <v>77</v>
      </c>
      <c r="AA11" s="30" t="s">
        <v>78</v>
      </c>
    </row>
    <row r="12" customFormat="false" ht="12.8" hidden="false" customHeight="true" outlineLevel="0" collapsed="false">
      <c r="A12" s="49" t="s">
        <v>79</v>
      </c>
      <c r="B12" s="49"/>
      <c r="C12" s="50"/>
      <c r="D12" s="51" t="s">
        <v>80</v>
      </c>
      <c r="E12" s="51"/>
      <c r="H12" s="30" t="s">
        <v>81</v>
      </c>
      <c r="I12" s="30" t="s">
        <v>82</v>
      </c>
      <c r="J12" s="30" t="s">
        <v>83</v>
      </c>
      <c r="P12" s="46" t="s">
        <v>77</v>
      </c>
      <c r="Q12" s="46" t="s">
        <v>77</v>
      </c>
      <c r="R12" s="47" t="s">
        <v>77</v>
      </c>
      <c r="S12" s="47" t="s">
        <v>77</v>
      </c>
      <c r="T12" s="47" t="s">
        <v>77</v>
      </c>
      <c r="U12" s="47" t="s">
        <v>77</v>
      </c>
      <c r="V12" s="47" t="s">
        <v>77</v>
      </c>
      <c r="W12" s="47" t="s">
        <v>77</v>
      </c>
      <c r="X12" s="47" t="s">
        <v>77</v>
      </c>
      <c r="Y12" s="46" t="s">
        <v>77</v>
      </c>
      <c r="Z12" s="46" t="s">
        <v>77</v>
      </c>
      <c r="AA12" s="30" t="s">
        <v>78</v>
      </c>
    </row>
    <row r="13" customFormat="false" ht="12.8" hidden="false" customHeight="true" outlineLevel="0" collapsed="false">
      <c r="A13" s="52" t="s">
        <v>84</v>
      </c>
      <c r="B13" s="53" t="str">
        <f aca="false">($A$2*$B$2/1000000) &amp; "m2"</f>
        <v>25,55m2</v>
      </c>
      <c r="C13" s="54"/>
      <c r="D13" s="55" t="s">
        <v>85</v>
      </c>
      <c r="E13" s="56" t="str">
        <f aca="false">_xlfn.IFS(  $D$2="terminacion", ROUNDUP(($A$2/$M$3*2)+($B$2/$M$2*2),0) &amp; " Terminación",  $D$2="lomo", ROUNDUP(($A$2/$M$3*2)+($B$2/$M$2*2)+4,0) &amp; " Lomo Ballena" )</f>
        <v>44 Terminación</v>
      </c>
      <c r="G13" s="30" t="s">
        <v>86</v>
      </c>
      <c r="H13" s="30" t="n">
        <f aca="false">COUNTIF(grilla,"C")</f>
        <v>104</v>
      </c>
      <c r="I13" s="57" t="n">
        <v>0.25</v>
      </c>
      <c r="J13" s="30" t="n">
        <f aca="false">COUNTIF(grilla,"C")*0.25</f>
        <v>26</v>
      </c>
      <c r="P13" s="46" t="s">
        <v>77</v>
      </c>
      <c r="Q13" s="46" t="s">
        <v>77</v>
      </c>
      <c r="R13" s="47" t="s">
        <v>77</v>
      </c>
      <c r="S13" s="47" t="s">
        <v>77</v>
      </c>
      <c r="T13" s="47" t="s">
        <v>77</v>
      </c>
      <c r="U13" s="47" t="s">
        <v>77</v>
      </c>
      <c r="V13" s="47" t="s">
        <v>77</v>
      </c>
      <c r="W13" s="47" t="s">
        <v>77</v>
      </c>
      <c r="X13" s="47" t="s">
        <v>77</v>
      </c>
      <c r="Y13" s="46" t="s">
        <v>77</v>
      </c>
      <c r="Z13" s="46" t="s">
        <v>77</v>
      </c>
      <c r="AA13" s="30" t="s">
        <v>78</v>
      </c>
    </row>
    <row r="14" customFormat="false" ht="14.9" hidden="false" customHeight="false" outlineLevel="0" collapsed="false">
      <c r="A14" s="52" t="s">
        <v>87</v>
      </c>
      <c r="B14" s="53" t="n">
        <f aca="false">ROUNDUP((($A$2+1000)*($B$2+1000))/1000000,0) * ($E$9/1000)</f>
        <v>3.8</v>
      </c>
      <c r="C14" s="54"/>
      <c r="D14" s="55" t="s">
        <v>88</v>
      </c>
      <c r="E14" s="58" t="str">
        <f aca="false">IF($D$2="LOMO",COUNTIF(grilla,"E"),"-")</f>
        <v>-</v>
      </c>
      <c r="G14" s="30" t="s">
        <v>89</v>
      </c>
      <c r="H14" s="30" t="str">
        <f aca="false">IF(COUNTIF(grilla,"E")=0,"-",COUNTIF(grilla,"E"))</f>
        <v>-</v>
      </c>
      <c r="I14" s="57" t="n">
        <f aca="false">0.25-0.05</f>
        <v>0.2</v>
      </c>
      <c r="J14" s="59" t="n">
        <f aca="false">COUNTIF(grilla,"E")*(0.4*0.4 - ($M$6/1000)^2)</f>
        <v>0</v>
      </c>
      <c r="P14" s="46" t="s">
        <v>77</v>
      </c>
      <c r="Q14" s="60" t="s">
        <v>90</v>
      </c>
      <c r="R14" s="47" t="s">
        <v>91</v>
      </c>
      <c r="S14" s="47" t="s">
        <v>91</v>
      </c>
      <c r="T14" s="47" t="s">
        <v>91</v>
      </c>
      <c r="U14" s="47" t="s">
        <v>92</v>
      </c>
      <c r="V14" s="47" t="s">
        <v>92</v>
      </c>
      <c r="W14" s="47" t="s">
        <v>92</v>
      </c>
      <c r="X14" s="47" t="s">
        <v>92</v>
      </c>
      <c r="Y14" s="60" t="s">
        <v>77</v>
      </c>
      <c r="Z14" s="46" t="s">
        <v>77</v>
      </c>
      <c r="AA14" s="30" t="s">
        <v>78</v>
      </c>
    </row>
    <row r="15" customFormat="false" ht="14.9" hidden="false" customHeight="false" outlineLevel="0" collapsed="false">
      <c r="A15" s="61" t="s">
        <v>93</v>
      </c>
      <c r="B15" s="62" t="n">
        <f aca="false">((($A$2+1000)*($B$2+1000))/1000000) * ($E$9/1000) * $G$9</f>
        <v>2.6145</v>
      </c>
      <c r="C15" s="63"/>
      <c r="D15" s="55" t="s">
        <v>94</v>
      </c>
      <c r="E15" s="58" t="n">
        <f aca="false">COUNTIF(grilla,"C")</f>
        <v>104</v>
      </c>
      <c r="G15" s="30" t="s">
        <v>95</v>
      </c>
      <c r="H15" s="30" t="n">
        <f aca="false">IF(COUNTIF(grilla,"R")=0,"-",COUNTIF(grilla,"R"))</f>
        <v>23</v>
      </c>
      <c r="I15" s="57" t="n">
        <v>0.1</v>
      </c>
      <c r="J15" s="59" t="n">
        <f aca="false">COUNTIF(grilla,"R")*0.1</f>
        <v>2.3</v>
      </c>
      <c r="K15" s="0"/>
      <c r="P15" s="47" t="s">
        <v>77</v>
      </c>
      <c r="Q15" s="47" t="s">
        <v>91</v>
      </c>
      <c r="Y15" s="47" t="s">
        <v>92</v>
      </c>
      <c r="Z15" s="47" t="s">
        <v>77</v>
      </c>
      <c r="AA15" s="30" t="s">
        <v>78</v>
      </c>
    </row>
    <row r="16" customFormat="false" ht="13.8" hidden="false" customHeight="false" outlineLevel="0" collapsed="false">
      <c r="A16" s="61" t="s">
        <v>96</v>
      </c>
      <c r="B16" s="62" t="n">
        <f aca="false">((($A$2+1000)*($B$2+1000))/1000000) * ($E$9/1000) * $H$9</f>
        <v>1.1205</v>
      </c>
      <c r="C16" s="63"/>
      <c r="D16" s="64" t="s">
        <v>97</v>
      </c>
      <c r="E16" s="65" t="n">
        <f aca="false">$J$18</f>
        <v>38.86</v>
      </c>
      <c r="G16" s="30" t="s">
        <v>61</v>
      </c>
      <c r="H16" s="30" t="n">
        <f aca="false">COUNTIF(grilla,"T")</f>
        <v>44</v>
      </c>
      <c r="I16" s="57" t="n">
        <v>0.24</v>
      </c>
      <c r="J16" s="59" t="n">
        <f aca="false">COUNTIF(grilla,"T")*0.24</f>
        <v>10.56</v>
      </c>
      <c r="K16" s="0"/>
      <c r="P16" s="47" t="s">
        <v>77</v>
      </c>
      <c r="Q16" s="47" t="s">
        <v>92</v>
      </c>
      <c r="Y16" s="47" t="s">
        <v>92</v>
      </c>
      <c r="Z16" s="47" t="s">
        <v>77</v>
      </c>
      <c r="AA16" s="30" t="s">
        <v>78</v>
      </c>
    </row>
    <row r="17" customFormat="false" ht="13.8" hidden="false" customHeight="false" outlineLevel="0" collapsed="false">
      <c r="A17" s="61" t="s">
        <v>98</v>
      </c>
      <c r="B17" s="62" t="n">
        <f aca="false">ROUNDUP(   ( (($A$2+1000)*($B$2+1000) - $A$2*$B$2) / 1000000 )   / ( IF($I$8&gt;50, $I$8/1000, $I$8) * IF($J$8&gt;50, $J$8/1000, $J$8) ) , 0)</f>
        <v>1</v>
      </c>
      <c r="C17" s="63"/>
      <c r="D17" s="64" t="s">
        <v>99</v>
      </c>
      <c r="E17" s="65" t="n">
        <f aca="false">ROUNDUP($E$16*($E$8/1000),0)</f>
        <v>4</v>
      </c>
      <c r="G17" s="30" t="s">
        <v>100</v>
      </c>
      <c r="H17" s="30" t="str">
        <f aca="false">IF(COUNTIF(grilla,"L")=0,"-",COUNTIF(grilla,"L"))</f>
        <v>-</v>
      </c>
      <c r="I17" s="57" t="n">
        <v>0.2</v>
      </c>
      <c r="J17" s="59" t="n">
        <f aca="false">COUNTIF(grilla,"L")*0.2</f>
        <v>0</v>
      </c>
      <c r="K17" s="0"/>
      <c r="P17" s="47" t="s">
        <v>77</v>
      </c>
      <c r="Q17" s="47" t="s">
        <v>92</v>
      </c>
      <c r="Y17" s="47" t="s">
        <v>92</v>
      </c>
      <c r="Z17" s="47" t="s">
        <v>77</v>
      </c>
      <c r="AA17" s="30" t="s">
        <v>78</v>
      </c>
    </row>
    <row r="18" customFormat="false" ht="28.35" hidden="false" customHeight="false" outlineLevel="0" collapsed="false">
      <c r="A18" s="61" t="s">
        <v>101</v>
      </c>
      <c r="B18" s="62" t="n">
        <f aca="false">((($A$2+2*$F$2)/1000)*(($B$2+2*$F$2)/1000)*($E$9/1000) - ($A$2/1000)*($B$2/1000)*($E$9/1000))</f>
        <v>3.808</v>
      </c>
      <c r="C18" s="63"/>
      <c r="D18" s="55" t="s">
        <v>102</v>
      </c>
      <c r="E18" s="58" t="n">
        <f aca="false">ROUNDUP($E$16*($E$8/1000)*$F$8,0)</f>
        <v>28</v>
      </c>
      <c r="G18" s="30" t="s">
        <v>103</v>
      </c>
      <c r="J18" s="30" t="n">
        <f aca="false">SUM($J$13:$J$17)</f>
        <v>38.86</v>
      </c>
      <c r="K18" s="0"/>
      <c r="P18" s="47" t="s">
        <v>77</v>
      </c>
      <c r="Q18" s="47" t="s">
        <v>92</v>
      </c>
      <c r="Y18" s="47" t="s">
        <v>92</v>
      </c>
      <c r="Z18" s="47" t="s">
        <v>77</v>
      </c>
      <c r="AA18" s="30" t="s">
        <v>78</v>
      </c>
    </row>
    <row r="19" customFormat="false" ht="14.9" hidden="false" customHeight="false" outlineLevel="0" collapsed="false">
      <c r="A19" s="61" t="s">
        <v>104</v>
      </c>
      <c r="B19" s="66" t="n">
        <v>8</v>
      </c>
      <c r="C19" s="67"/>
      <c r="D19" s="55" t="s">
        <v>93</v>
      </c>
      <c r="E19" s="68" t="n">
        <f aca="false">ROUNDUP($E$16*($E$8/1000),0)</f>
        <v>4</v>
      </c>
      <c r="J19" s="0"/>
      <c r="K19" s="0"/>
      <c r="P19" s="47" t="s">
        <v>77</v>
      </c>
      <c r="Q19" s="47" t="s">
        <v>92</v>
      </c>
      <c r="Y19" s="47" t="s">
        <v>92</v>
      </c>
      <c r="Z19" s="47" t="s">
        <v>77</v>
      </c>
      <c r="AA19" s="30" t="s">
        <v>78</v>
      </c>
    </row>
    <row r="20" customFormat="false" ht="12.8" hidden="false" customHeight="true" outlineLevel="0" collapsed="false">
      <c r="A20" s="61" t="s">
        <v>105</v>
      </c>
      <c r="B20" s="66" t="n">
        <v>10</v>
      </c>
      <c r="C20" s="67"/>
      <c r="D20" s="55" t="s">
        <v>106</v>
      </c>
      <c r="E20" s="68" t="n">
        <f aca="false">(( ($A$2+($I$2+$J$2)*500+2*$D$8)*($B$2+($G$2+$H$2)*500+2*$D$8) -$A$2*$B$2 ) / 1000000) * ($E$8/1000) * $H$10</f>
        <v>3.167376</v>
      </c>
      <c r="J20" s="0"/>
      <c r="K20" s="0"/>
      <c r="P20" s="47" t="s">
        <v>77</v>
      </c>
      <c r="Q20" s="47" t="s">
        <v>92</v>
      </c>
      <c r="Y20" s="47" t="s">
        <v>92</v>
      </c>
      <c r="Z20" s="47" t="s">
        <v>77</v>
      </c>
      <c r="AA20" s="30" t="s">
        <v>78</v>
      </c>
    </row>
    <row r="21" customFormat="false" ht="12.8" hidden="false" customHeight="true" outlineLevel="0" collapsed="false">
      <c r="A21" s="61" t="s">
        <v>107</v>
      </c>
      <c r="B21" s="66" t="n">
        <v>50</v>
      </c>
      <c r="C21" s="67"/>
      <c r="D21" s="55" t="s">
        <v>98</v>
      </c>
      <c r="E21" s="58" t="n">
        <f aca="false">ROUNDUP(  $E$16 /   ( IF($I$8&gt;50,$I$8/1000,$I$8) *     IF($J$8&gt;50,$J$8/1000,$J$8) ) ,0)</f>
        <v>4</v>
      </c>
      <c r="J21" s="0"/>
      <c r="K21" s="0"/>
      <c r="P21" s="47" t="s">
        <v>77</v>
      </c>
      <c r="Q21" s="47" t="s">
        <v>92</v>
      </c>
      <c r="Y21" s="47" t="s">
        <v>92</v>
      </c>
      <c r="Z21" s="47" t="s">
        <v>77</v>
      </c>
      <c r="AA21" s="30" t="s">
        <v>78</v>
      </c>
    </row>
    <row r="22" customFormat="false" ht="12.8" hidden="false" customHeight="true" outlineLevel="0" collapsed="false">
      <c r="A22" s="61" t="s">
        <v>108</v>
      </c>
      <c r="B22" s="66" t="n">
        <v>40</v>
      </c>
      <c r="C22" s="67"/>
      <c r="D22" s="55" t="s">
        <v>109</v>
      </c>
      <c r="E22" s="58" t="n">
        <v>1</v>
      </c>
      <c r="J22" s="0"/>
      <c r="K22" s="0"/>
      <c r="P22" s="47" t="s">
        <v>77</v>
      </c>
      <c r="Q22" s="47" t="s">
        <v>92</v>
      </c>
      <c r="Y22" s="47" t="s">
        <v>92</v>
      </c>
      <c r="Z22" s="47" t="s">
        <v>77</v>
      </c>
      <c r="AA22" s="30" t="s">
        <v>78</v>
      </c>
    </row>
    <row r="23" customFormat="false" ht="12.8" hidden="false" customHeight="true" outlineLevel="0" collapsed="false">
      <c r="A23" s="61" t="s">
        <v>110</v>
      </c>
      <c r="B23" s="66" t="n">
        <v>8</v>
      </c>
      <c r="C23" s="67"/>
      <c r="D23" s="55" t="s">
        <v>111</v>
      </c>
      <c r="E23" s="58" t="n">
        <v>1</v>
      </c>
      <c r="J23" s="0"/>
      <c r="K23" s="0"/>
      <c r="P23" s="47" t="s">
        <v>77</v>
      </c>
      <c r="Q23" s="47" t="s">
        <v>92</v>
      </c>
      <c r="Y23" s="47" t="s">
        <v>92</v>
      </c>
      <c r="Z23" s="47" t="s">
        <v>77</v>
      </c>
      <c r="AA23" s="30" t="s">
        <v>78</v>
      </c>
    </row>
    <row r="24" customFormat="false" ht="12.8" hidden="false" customHeight="true" outlineLevel="0" collapsed="false">
      <c r="A24" s="61" t="s">
        <v>112</v>
      </c>
      <c r="B24" s="66" t="n">
        <v>6</v>
      </c>
      <c r="C24" s="67"/>
      <c r="D24" s="69" t="s">
        <v>113</v>
      </c>
      <c r="E24" s="70" t="n">
        <f aca="false">ROUNDUP( $E$16 * ($E$10* 0.09) / 30 , 0 )</f>
        <v>6</v>
      </c>
      <c r="J24" s="0"/>
      <c r="K24" s="0"/>
      <c r="P24" s="47" t="s">
        <v>77</v>
      </c>
      <c r="Q24" s="47" t="s">
        <v>92</v>
      </c>
      <c r="R24" s="71"/>
      <c r="S24" s="72"/>
      <c r="T24" s="72"/>
      <c r="U24" s="72"/>
      <c r="V24" s="72"/>
      <c r="W24" s="72"/>
      <c r="X24" s="73"/>
      <c r="Y24" s="47" t="s">
        <v>92</v>
      </c>
      <c r="Z24" s="47" t="s">
        <v>77</v>
      </c>
      <c r="AA24" s="30" t="s">
        <v>78</v>
      </c>
    </row>
    <row r="25" customFormat="false" ht="12.8" hidden="false" customHeight="true" outlineLevel="0" collapsed="false">
      <c r="A25" s="61" t="s">
        <v>114</v>
      </c>
      <c r="B25" s="66" t="n">
        <v>6</v>
      </c>
      <c r="C25" s="67"/>
      <c r="D25" s="55"/>
      <c r="E25" s="58"/>
      <c r="J25" s="0"/>
      <c r="K25" s="0"/>
      <c r="P25" s="47" t="s">
        <v>77</v>
      </c>
      <c r="Q25" s="47" t="s">
        <v>92</v>
      </c>
      <c r="R25" s="71"/>
      <c r="S25" s="72"/>
      <c r="T25" s="72"/>
      <c r="U25" s="72"/>
      <c r="V25" s="72"/>
      <c r="W25" s="72"/>
      <c r="X25" s="73"/>
      <c r="Y25" s="47" t="s">
        <v>92</v>
      </c>
      <c r="Z25" s="47" t="s">
        <v>77</v>
      </c>
      <c r="AA25" s="30" t="s">
        <v>78</v>
      </c>
    </row>
    <row r="26" customFormat="false" ht="9.3" hidden="false" customHeight="true" outlineLevel="0" collapsed="false">
      <c r="A26" s="61" t="s">
        <v>115</v>
      </c>
      <c r="B26" s="66" t="n">
        <v>14</v>
      </c>
      <c r="C26" s="67"/>
      <c r="D26" s="55" t="s">
        <v>116</v>
      </c>
      <c r="E26" s="68" t="n">
        <f aca="false">( ($A$2/1000 + 2*IF($D$2="LOMO",0.4,0.48)) *    ($B$2/1000 + 2*IF($D$2="LOMO",0.4,0.48))    - ($A$2/1000)*($B$2/1000) )  - IF($D$2="LOMO", 4*POWER($M$5/1000,2), 0)</f>
        <v>11.2896</v>
      </c>
      <c r="J26" s="0"/>
      <c r="K26" s="0"/>
      <c r="L26" s="1"/>
      <c r="P26" s="47" t="s">
        <v>77</v>
      </c>
      <c r="Q26" s="47" t="s">
        <v>92</v>
      </c>
      <c r="R26" s="1"/>
      <c r="S26" s="1"/>
      <c r="T26" s="1"/>
      <c r="U26" s="1"/>
      <c r="V26" s="1"/>
      <c r="W26" s="1"/>
      <c r="X26" s="1"/>
      <c r="Y26" s="47" t="s">
        <v>92</v>
      </c>
      <c r="Z26" s="47" t="s">
        <v>77</v>
      </c>
      <c r="AA26" s="30" t="s">
        <v>78</v>
      </c>
    </row>
    <row r="27" customFormat="false" ht="16.9" hidden="false" customHeight="true" outlineLevel="0" collapsed="false">
      <c r="A27" s="61" t="s">
        <v>117</v>
      </c>
      <c r="B27" s="66" t="n">
        <v>2</v>
      </c>
      <c r="C27" s="67"/>
      <c r="D27" s="55" t="s">
        <v>118</v>
      </c>
      <c r="E27" s="74" t="n">
        <f aca="false">$K$8*$E$26</f>
        <v>508032</v>
      </c>
      <c r="J27" s="0"/>
      <c r="K27" s="0"/>
      <c r="L27" s="1"/>
      <c r="P27" s="47" t="s">
        <v>77</v>
      </c>
      <c r="Q27" s="47" t="s">
        <v>92</v>
      </c>
      <c r="R27" s="1"/>
      <c r="S27" s="1"/>
      <c r="T27" s="1"/>
      <c r="U27" s="1"/>
      <c r="V27" s="1"/>
      <c r="W27" s="1"/>
      <c r="X27" s="1"/>
      <c r="Y27" s="47" t="s">
        <v>92</v>
      </c>
      <c r="Z27" s="47" t="s">
        <v>77</v>
      </c>
      <c r="AA27" s="30" t="s">
        <v>78</v>
      </c>
    </row>
    <row r="28" customFormat="false" ht="12.8" hidden="false" customHeight="true" outlineLevel="0" collapsed="false">
      <c r="A28" s="61" t="s">
        <v>119</v>
      </c>
      <c r="B28" s="66" t="n">
        <v>8</v>
      </c>
      <c r="C28" s="67"/>
      <c r="D28" s="75" t="s">
        <v>120</v>
      </c>
      <c r="E28" s="76" t="n">
        <f aca="false">$K$9-$E$27</f>
        <v>1867500</v>
      </c>
      <c r="J28" s="0"/>
      <c r="K28" s="0"/>
      <c r="L28" s="1"/>
      <c r="P28" s="47" t="s">
        <v>77</v>
      </c>
      <c r="Q28" s="47" t="s">
        <v>92</v>
      </c>
      <c r="R28" s="1"/>
      <c r="S28" s="1"/>
      <c r="T28" s="1"/>
      <c r="U28" s="1"/>
      <c r="V28" s="1"/>
      <c r="W28" s="1"/>
      <c r="X28" s="1"/>
      <c r="Y28" s="47" t="s">
        <v>92</v>
      </c>
      <c r="Z28" s="47" t="s">
        <v>77</v>
      </c>
      <c r="AA28" s="30" t="s">
        <v>78</v>
      </c>
    </row>
    <row r="29" customFormat="false" ht="12.8" hidden="false" customHeight="true" outlineLevel="0" collapsed="false">
      <c r="A29" s="61" t="s">
        <v>121</v>
      </c>
      <c r="B29" s="66" t="n">
        <v>30</v>
      </c>
      <c r="C29" s="67"/>
      <c r="D29" s="0"/>
      <c r="J29" s="0"/>
      <c r="K29" s="0"/>
      <c r="L29" s="1"/>
      <c r="P29" s="47" t="s">
        <v>77</v>
      </c>
      <c r="Q29" s="47" t="s">
        <v>92</v>
      </c>
      <c r="R29" s="1"/>
      <c r="S29" s="1"/>
      <c r="T29" s="1"/>
      <c r="U29" s="1"/>
      <c r="V29" s="1"/>
      <c r="W29" s="1"/>
      <c r="X29" s="1"/>
      <c r="Y29" s="47" t="s">
        <v>92</v>
      </c>
      <c r="Z29" s="47" t="s">
        <v>77</v>
      </c>
      <c r="AA29" s="30" t="s">
        <v>78</v>
      </c>
    </row>
    <row r="30" customFormat="false" ht="12.8" hidden="false" customHeight="true" outlineLevel="0" collapsed="false">
      <c r="A30" s="61" t="s">
        <v>122</v>
      </c>
      <c r="B30" s="66" t="n">
        <v>20</v>
      </c>
      <c r="C30" s="67"/>
      <c r="D30" s="0"/>
      <c r="J30" s="0"/>
      <c r="K30" s="0"/>
      <c r="P30" s="46" t="s">
        <v>77</v>
      </c>
      <c r="Q30" s="60" t="s">
        <v>77</v>
      </c>
      <c r="R30" s="47" t="s">
        <v>91</v>
      </c>
      <c r="S30" s="47" t="s">
        <v>92</v>
      </c>
      <c r="T30" s="47" t="s">
        <v>91</v>
      </c>
      <c r="U30" s="47" t="s">
        <v>91</v>
      </c>
      <c r="V30" s="47" t="s">
        <v>91</v>
      </c>
      <c r="W30" s="47" t="s">
        <v>91</v>
      </c>
      <c r="X30" s="47" t="s">
        <v>91</v>
      </c>
      <c r="Y30" s="60" t="s">
        <v>77</v>
      </c>
      <c r="Z30" s="46" t="s">
        <v>77</v>
      </c>
      <c r="AA30" s="30" t="s">
        <v>78</v>
      </c>
    </row>
    <row r="31" customFormat="false" ht="12.8" hidden="false" customHeight="true" outlineLevel="0" collapsed="false">
      <c r="D31" s="0"/>
      <c r="J31" s="0"/>
      <c r="K31" s="0"/>
      <c r="L31" s="0"/>
      <c r="M31" s="0"/>
      <c r="O31" s="77"/>
      <c r="P31" s="46" t="s">
        <v>77</v>
      </c>
      <c r="Q31" s="46" t="s">
        <v>77</v>
      </c>
      <c r="R31" s="47" t="s">
        <v>77</v>
      </c>
      <c r="S31" s="47" t="s">
        <v>77</v>
      </c>
      <c r="T31" s="47" t="s">
        <v>77</v>
      </c>
      <c r="U31" s="47" t="s">
        <v>77</v>
      </c>
      <c r="V31" s="47" t="s">
        <v>77</v>
      </c>
      <c r="W31" s="47" t="s">
        <v>77</v>
      </c>
      <c r="X31" s="47" t="s">
        <v>77</v>
      </c>
      <c r="Y31" s="46" t="s">
        <v>77</v>
      </c>
      <c r="Z31" s="46" t="s">
        <v>77</v>
      </c>
      <c r="AA31" s="30" t="s">
        <v>78</v>
      </c>
    </row>
    <row r="32" customFormat="false" ht="12.8" hidden="false" customHeight="true" outlineLevel="0" collapsed="false">
      <c r="D32" s="0"/>
      <c r="J32" s="0"/>
      <c r="K32" s="0"/>
      <c r="L32" s="0"/>
      <c r="M32" s="0"/>
      <c r="O32" s="77"/>
      <c r="P32" s="46" t="s">
        <v>77</v>
      </c>
      <c r="Q32" s="46" t="s">
        <v>77</v>
      </c>
      <c r="R32" s="47" t="s">
        <v>77</v>
      </c>
      <c r="S32" s="47" t="s">
        <v>77</v>
      </c>
      <c r="T32" s="47" t="s">
        <v>77</v>
      </c>
      <c r="U32" s="47" t="s">
        <v>77</v>
      </c>
      <c r="V32" s="47" t="s">
        <v>77</v>
      </c>
      <c r="W32" s="47" t="s">
        <v>77</v>
      </c>
      <c r="X32" s="47" t="s">
        <v>77</v>
      </c>
      <c r="Y32" s="46" t="s">
        <v>77</v>
      </c>
      <c r="Z32" s="46" t="s">
        <v>77</v>
      </c>
      <c r="AA32" s="30" t="s">
        <v>78</v>
      </c>
    </row>
    <row r="33" customFormat="false" ht="12.8" hidden="false" customHeight="true" outlineLevel="0" collapsed="false">
      <c r="A33" s="28" t="str">
        <f aca="false">_xlfn.CONCAT("Total arena"," ", D12," ,",A12)</f>
        <v>Total arena CHINO ,JESUS</v>
      </c>
      <c r="B33" s="78" t="str">
        <f aca="false">_xlfn.CONCAT(ROUNDUP($B$15+$B$18+$E$19,0)," m³")</f>
        <v>11 m³</v>
      </c>
      <c r="C33" s="79"/>
      <c r="D33" s="0"/>
      <c r="G33" s="1"/>
      <c r="H33" s="1"/>
      <c r="I33" s="1"/>
      <c r="J33" s="0"/>
      <c r="K33" s="0"/>
      <c r="L33" s="0"/>
      <c r="M33" s="0"/>
      <c r="N33" s="1"/>
      <c r="O33" s="77"/>
      <c r="P33" s="46" t="s">
        <v>77</v>
      </c>
      <c r="Q33" s="46" t="s">
        <v>77</v>
      </c>
      <c r="R33" s="47" t="s">
        <v>77</v>
      </c>
      <c r="S33" s="47" t="s">
        <v>77</v>
      </c>
      <c r="T33" s="47" t="s">
        <v>77</v>
      </c>
      <c r="U33" s="47" t="s">
        <v>77</v>
      </c>
      <c r="V33" s="47" t="s">
        <v>77</v>
      </c>
      <c r="W33" s="47" t="s">
        <v>77</v>
      </c>
      <c r="X33" s="47" t="s">
        <v>77</v>
      </c>
      <c r="Y33" s="46" t="s">
        <v>77</v>
      </c>
      <c r="Z33" s="46" t="s">
        <v>77</v>
      </c>
      <c r="AA33" s="30" t="s">
        <v>78</v>
      </c>
    </row>
    <row r="34" customFormat="false" ht="12.8" hidden="false" customHeight="true" outlineLevel="0" collapsed="false">
      <c r="A34" s="28" t="s">
        <v>96</v>
      </c>
      <c r="B34" s="80" t="str">
        <f aca="false">_xlfn.CONCAT(ROUNDUP($B$16+$E$26,0)," m³")</f>
        <v>13 m³</v>
      </c>
      <c r="C34" s="81"/>
      <c r="D34" s="0"/>
      <c r="J34" s="0"/>
      <c r="K34" s="0"/>
      <c r="L34" s="0"/>
      <c r="M34" s="0"/>
      <c r="N34" s="1"/>
      <c r="O34" s="77"/>
      <c r="P34" s="46"/>
      <c r="Q34" s="46"/>
      <c r="R34" s="47"/>
      <c r="S34" s="47"/>
      <c r="T34" s="47"/>
      <c r="U34" s="47"/>
      <c r="V34" s="47"/>
      <c r="W34" s="47"/>
      <c r="X34" s="47"/>
      <c r="Y34" s="46"/>
      <c r="Z34" s="46"/>
    </row>
    <row r="35" customFormat="false" ht="12.8" hidden="false" customHeight="true" outlineLevel="0" collapsed="false">
      <c r="A35" s="0"/>
      <c r="B35" s="0"/>
      <c r="C35" s="37"/>
      <c r="E35" s="0"/>
      <c r="F35" s="0"/>
      <c r="G35" s="0"/>
      <c r="H35" s="0"/>
      <c r="J35" s="0"/>
      <c r="K35" s="0"/>
      <c r="L35" s="0"/>
      <c r="M35" s="0"/>
      <c r="N35" s="1"/>
      <c r="O35" s="77"/>
      <c r="P35" s="1"/>
      <c r="Q35" s="1"/>
      <c r="R35" s="1"/>
      <c r="S35" s="1"/>
      <c r="T35" s="1"/>
    </row>
    <row r="36" customFormat="false" ht="12.8" hidden="false" customHeight="true" outlineLevel="0" collapsed="false">
      <c r="A36" s="0"/>
      <c r="B36" s="0"/>
      <c r="C36" s="37"/>
      <c r="E36" s="0"/>
      <c r="F36" s="0"/>
      <c r="G36" s="0"/>
      <c r="H36" s="0"/>
      <c r="J36" s="0"/>
      <c r="K36" s="0"/>
      <c r="L36" s="0"/>
      <c r="M36" s="0"/>
      <c r="N36" s="1"/>
      <c r="O36" s="77"/>
      <c r="P36" s="1"/>
      <c r="Q36" s="1"/>
      <c r="R36" s="1"/>
      <c r="S36" s="1"/>
      <c r="T36" s="1"/>
    </row>
    <row r="37" customFormat="false" ht="12.8" hidden="false" customHeight="true" outlineLevel="0" collapsed="false">
      <c r="A37" s="0"/>
      <c r="B37" s="0"/>
      <c r="C37" s="37"/>
      <c r="E37" s="0"/>
      <c r="F37" s="0"/>
      <c r="G37" s="0"/>
      <c r="H37" s="0"/>
      <c r="J37" s="0"/>
      <c r="K37" s="0"/>
      <c r="L37" s="0"/>
      <c r="M37" s="0"/>
      <c r="N37" s="1"/>
      <c r="O37" s="77"/>
      <c r="P37" s="1"/>
      <c r="Q37" s="1"/>
      <c r="R37" s="1"/>
      <c r="S37" s="1"/>
      <c r="T37" s="1"/>
    </row>
    <row r="38" customFormat="false" ht="12.8" hidden="false" customHeight="true" outlineLevel="0" collapsed="false">
      <c r="A38" s="0"/>
      <c r="B38" s="0"/>
      <c r="C38" s="37"/>
      <c r="D38" s="82"/>
      <c r="E38" s="0"/>
      <c r="F38" s="0"/>
      <c r="G38" s="0"/>
      <c r="H38" s="0"/>
      <c r="J38" s="0"/>
      <c r="K38" s="0"/>
      <c r="L38" s="0"/>
      <c r="M38" s="0"/>
      <c r="N38" s="1"/>
      <c r="O38" s="77"/>
      <c r="P38" s="1"/>
      <c r="Q38" s="1"/>
      <c r="R38" s="1"/>
      <c r="S38" s="1"/>
      <c r="T38" s="1"/>
    </row>
    <row r="39" customFormat="false" ht="12.8" hidden="false" customHeight="true" outlineLevel="0" collapsed="false">
      <c r="A39" s="0"/>
      <c r="B39" s="0"/>
      <c r="C39" s="37"/>
      <c r="D39" s="82"/>
      <c r="E39" s="0"/>
      <c r="F39" s="0"/>
      <c r="G39" s="0"/>
      <c r="H39" s="0"/>
      <c r="J39" s="0"/>
      <c r="K39" s="0"/>
      <c r="L39" s="0"/>
      <c r="M39" s="0"/>
      <c r="N39" s="1"/>
      <c r="O39" s="77"/>
      <c r="P39" s="1"/>
      <c r="Q39" s="1"/>
      <c r="R39" s="1"/>
      <c r="S39" s="1"/>
      <c r="T39" s="1"/>
    </row>
    <row r="40" customFormat="false" ht="12.8" hidden="false" customHeight="true" outlineLevel="0" collapsed="false">
      <c r="A40" s="0"/>
      <c r="B40" s="0"/>
      <c r="C40" s="37"/>
      <c r="E40" s="0"/>
      <c r="F40" s="0"/>
      <c r="G40" s="0"/>
      <c r="H40" s="0"/>
      <c r="J40" s="0"/>
      <c r="K40" s="0"/>
      <c r="L40" s="0"/>
      <c r="M40" s="0"/>
      <c r="N40" s="1"/>
      <c r="O40" s="77"/>
      <c r="P40" s="1"/>
      <c r="Q40" s="1"/>
      <c r="R40" s="1"/>
      <c r="S40" s="1"/>
      <c r="T40" s="1"/>
    </row>
    <row r="41" customFormat="false" ht="12.8" hidden="false" customHeight="true" outlineLevel="0" collapsed="false">
      <c r="A41" s="0"/>
      <c r="B41" s="0"/>
      <c r="C41" s="37"/>
      <c r="E41" s="0"/>
      <c r="F41" s="0"/>
      <c r="G41" s="0"/>
      <c r="H41" s="0"/>
      <c r="J41" s="0"/>
      <c r="K41" s="0"/>
      <c r="L41" s="0"/>
      <c r="M41" s="0"/>
      <c r="N41" s="1"/>
      <c r="O41" s="77"/>
      <c r="P41" s="1"/>
      <c r="Q41" s="1"/>
      <c r="R41" s="1"/>
      <c r="S41" s="1"/>
      <c r="T41" s="1"/>
    </row>
    <row r="42" customFormat="false" ht="12.8" hidden="false" customHeight="true" outlineLevel="0" collapsed="false">
      <c r="A42" s="0"/>
      <c r="B42" s="0"/>
      <c r="C42" s="37"/>
      <c r="E42" s="0"/>
      <c r="F42" s="0"/>
      <c r="G42" s="0"/>
      <c r="H42" s="0"/>
      <c r="J42" s="0"/>
      <c r="K42" s="0"/>
      <c r="L42" s="0"/>
      <c r="M42" s="0"/>
      <c r="N42" s="1"/>
      <c r="O42" s="77"/>
      <c r="P42" s="1"/>
      <c r="Q42" s="1"/>
      <c r="R42" s="1"/>
      <c r="S42" s="1"/>
      <c r="T42" s="1"/>
    </row>
    <row r="43" customFormat="false" ht="12.8" hidden="false" customHeight="true" outlineLevel="0" collapsed="false">
      <c r="A43" s="0"/>
      <c r="B43" s="0"/>
      <c r="C43" s="37"/>
      <c r="H43" s="83"/>
      <c r="J43" s="0"/>
      <c r="K43" s="0"/>
      <c r="L43" s="0"/>
      <c r="M43" s="0"/>
      <c r="N43" s="1"/>
      <c r="O43" s="77"/>
      <c r="P43" s="1"/>
      <c r="Q43" s="1"/>
      <c r="R43" s="1"/>
      <c r="S43" s="1"/>
      <c r="T43" s="1"/>
    </row>
    <row r="44" customFormat="false" ht="12.8" hidden="false" customHeight="true" outlineLevel="0" collapsed="false">
      <c r="A44" s="0"/>
      <c r="B44" s="0"/>
      <c r="C44" s="37"/>
      <c r="J44" s="0"/>
      <c r="K44" s="0"/>
      <c r="L44" s="0"/>
      <c r="M44" s="0"/>
      <c r="N44" s="1"/>
      <c r="O44" s="77"/>
      <c r="P44" s="1"/>
      <c r="Q44" s="1"/>
      <c r="R44" s="1"/>
      <c r="S44" s="1"/>
      <c r="T44" s="1"/>
    </row>
    <row r="45" customFormat="false" ht="12.8" hidden="false" customHeight="true" outlineLevel="0" collapsed="false">
      <c r="A45" s="0"/>
      <c r="B45" s="0"/>
      <c r="C45" s="37"/>
      <c r="K45" s="1"/>
      <c r="L45" s="1"/>
      <c r="M45" s="1"/>
      <c r="N45" s="1"/>
      <c r="O45" s="77"/>
      <c r="P45" s="1"/>
      <c r="Q45" s="1"/>
      <c r="R45" s="1"/>
      <c r="S45" s="1"/>
      <c r="T45" s="1"/>
    </row>
    <row r="46" customFormat="false" ht="12.8" hidden="false" customHeight="true" outlineLevel="0" collapsed="false">
      <c r="A46" s="0"/>
      <c r="B46" s="0"/>
      <c r="C46" s="37"/>
      <c r="K46" s="1"/>
      <c r="L46" s="1"/>
      <c r="M46" s="1"/>
      <c r="N46" s="1"/>
      <c r="O46" s="77"/>
      <c r="P46" s="1"/>
      <c r="Q46" s="1"/>
      <c r="R46" s="1"/>
      <c r="S46" s="1"/>
      <c r="T46" s="1"/>
    </row>
    <row r="47" customFormat="false" ht="12.8" hidden="false" customHeight="true" outlineLevel="0" collapsed="false">
      <c r="A47" s="0"/>
      <c r="B47" s="0"/>
      <c r="C47" s="37"/>
      <c r="K47" s="1"/>
      <c r="L47" s="1"/>
      <c r="M47" s="1"/>
      <c r="N47" s="1"/>
    </row>
    <row r="48" customFormat="false" ht="12.8" hidden="false" customHeight="true" outlineLevel="0" collapsed="false">
      <c r="A48" s="0"/>
      <c r="B48" s="0"/>
      <c r="C48" s="37"/>
      <c r="J48" s="0"/>
      <c r="K48" s="0"/>
      <c r="L48" s="0"/>
      <c r="M48" s="0"/>
      <c r="N48" s="1"/>
    </row>
    <row r="49" customFormat="false" ht="12.8" hidden="false" customHeight="true" outlineLevel="0" collapsed="false">
      <c r="J49" s="0"/>
      <c r="K49" s="0"/>
      <c r="L49" s="0"/>
      <c r="M49" s="0"/>
      <c r="N49" s="1"/>
    </row>
    <row r="50" customFormat="false" ht="12.8" hidden="false" customHeight="true" outlineLevel="0" collapsed="false">
      <c r="J50" s="0"/>
      <c r="K50" s="0"/>
      <c r="L50" s="0"/>
      <c r="M50" s="0"/>
    </row>
    <row r="51" customFormat="false" ht="12.8" hidden="false" customHeight="true" outlineLevel="0" collapsed="false">
      <c r="J51" s="0"/>
      <c r="K51" s="0"/>
      <c r="L51" s="0"/>
      <c r="M51" s="0"/>
    </row>
    <row r="52" customFormat="false" ht="12.8" hidden="false" customHeight="true" outlineLevel="0" collapsed="false">
      <c r="J52" s="0"/>
      <c r="K52" s="0"/>
      <c r="L52" s="0"/>
      <c r="M52" s="0"/>
    </row>
    <row r="53" customFormat="false" ht="12.8" hidden="false" customHeight="true" outlineLevel="0" collapsed="false">
      <c r="J53" s="0"/>
      <c r="K53" s="0"/>
      <c r="L53" s="0"/>
      <c r="M53" s="0"/>
    </row>
    <row r="54" customFormat="false" ht="12.8" hidden="false" customHeight="true" outlineLevel="0" collapsed="false">
      <c r="J54" s="0"/>
      <c r="K54" s="0"/>
      <c r="L54" s="0"/>
      <c r="M54" s="0"/>
    </row>
    <row r="55" customFormat="false" ht="12.8" hidden="false" customHeight="true" outlineLevel="0" collapsed="false">
      <c r="M55" s="84"/>
    </row>
  </sheetData>
  <mergeCells count="2">
    <mergeCell ref="A12:B12"/>
    <mergeCell ref="D12:E12"/>
  </mergeCells>
  <dataValidations count="1">
    <dataValidation allowBlank="true" errorStyle="stop" operator="equal" showDropDown="false" showErrorMessage="true" showInputMessage="false" sqref="D2 K2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56"/>
  <sheetViews>
    <sheetView showFormulas="false" showGridLines="true" showRowColHeaders="true" showZeros="true" rightToLeft="false" tabSelected="false" showOutlineSymbols="true" defaultGridColor="true" view="normal" topLeftCell="D1" colorId="64" zoomScale="103" zoomScaleNormal="103" zoomScalePageLayoutView="100" workbookViewId="0">
      <selection pane="topLeft" activeCell="B42" activeCellId="0" sqref="B42"/>
    </sheetView>
  </sheetViews>
  <sheetFormatPr defaultColWidth="10.16015625" defaultRowHeight="12.8" customHeight="true" zeroHeight="false" outlineLevelRow="0" outlineLevelCol="0"/>
  <cols>
    <col collapsed="false" customWidth="true" hidden="false" outlineLevel="0" max="2" min="2" style="1" width="38.45"/>
    <col collapsed="false" customWidth="true" hidden="false" outlineLevel="0" max="3" min="3" style="1" width="64.54"/>
    <col collapsed="false" customWidth="true" hidden="false" outlineLevel="0" max="5" min="5" style="1" width="11.72"/>
    <col collapsed="false" customWidth="true" hidden="false" outlineLevel="0" max="6" min="6" style="0" width="41.82"/>
  </cols>
  <sheetData>
    <row r="1" customFormat="false" ht="13.8" hidden="false" customHeight="false" outlineLevel="0" collapsed="false">
      <c r="D1" s="1"/>
    </row>
    <row r="2" customFormat="false" ht="13.8" hidden="false" customHeight="false" outlineLevel="0" collapsed="false">
      <c r="B2" s="3" t="s">
        <v>0</v>
      </c>
      <c r="C2" s="3"/>
      <c r="D2" s="3"/>
    </row>
    <row r="3" customFormat="false" ht="13.8" hidden="false" customHeight="false" outlineLevel="0" collapsed="false">
      <c r="B3" s="3"/>
      <c r="C3" s="3"/>
      <c r="D3" s="3"/>
    </row>
    <row r="4" customFormat="false" ht="13.8" hidden="false" customHeight="false" outlineLevel="0" collapsed="false">
      <c r="B4" s="4" t="s">
        <v>1</v>
      </c>
      <c r="C4" s="5" t="n">
        <f aca="true">TODAY()</f>
        <v>45924</v>
      </c>
      <c r="D4" s="1"/>
    </row>
    <row r="5" customFormat="false" ht="13.8" hidden="false" customHeight="false" outlineLevel="0" collapsed="false">
      <c r="B5" s="4" t="s">
        <v>4</v>
      </c>
      <c r="C5" s="1" t="s">
        <v>123</v>
      </c>
      <c r="D5" s="1"/>
    </row>
    <row r="6" customFormat="false" ht="13.8" hidden="false" customHeight="false" outlineLevel="0" collapsed="false">
      <c r="B6" s="4" t="s">
        <v>2</v>
      </c>
      <c r="D6" s="1"/>
    </row>
    <row r="7" customFormat="false" ht="13.8" hidden="false" customHeight="false" outlineLevel="0" collapsed="false">
      <c r="B7" s="4" t="s">
        <v>6</v>
      </c>
      <c r="D7" s="1"/>
    </row>
    <row r="8" customFormat="false" ht="13.8" hidden="false" customHeight="false" outlineLevel="0" collapsed="false">
      <c r="D8" s="1"/>
    </row>
    <row r="9" customFormat="false" ht="16.2" hidden="false" customHeight="false" outlineLevel="0" collapsed="false">
      <c r="B9" s="6" t="s">
        <v>8</v>
      </c>
      <c r="C9" s="0"/>
      <c r="E9" s="0"/>
      <c r="F9" s="3" t="s">
        <v>39</v>
      </c>
      <c r="G9" s="6" t="s">
        <v>9</v>
      </c>
      <c r="H9" s="6" t="s">
        <v>10</v>
      </c>
      <c r="I9" s="6" t="s">
        <v>11</v>
      </c>
    </row>
    <row r="10" customFormat="false" ht="13.8" hidden="false" customHeight="false" outlineLevel="0" collapsed="false">
      <c r="C10" s="0"/>
      <c r="E10" s="0"/>
      <c r="F10" s="3"/>
      <c r="G10" s="1"/>
      <c r="H10" s="1"/>
      <c r="I10" s="1"/>
    </row>
    <row r="11" customFormat="false" ht="13.8" hidden="false" customHeight="false" outlineLevel="0" collapsed="false">
      <c r="B11" s="3" t="s">
        <v>12</v>
      </c>
      <c r="C11" s="0"/>
      <c r="E11" s="0"/>
      <c r="F11" s="4" t="s">
        <v>40</v>
      </c>
      <c r="G11" s="1"/>
      <c r="H11" s="1"/>
      <c r="I11" s="1"/>
    </row>
    <row r="12" customFormat="false" ht="13.8" hidden="false" customHeight="false" outlineLevel="0" collapsed="false">
      <c r="B12" s="3"/>
      <c r="C12" s="0"/>
      <c r="E12" s="0"/>
      <c r="F12" s="1" t="s">
        <v>26</v>
      </c>
      <c r="G12" s="1"/>
      <c r="H12" s="1"/>
      <c r="I12" s="1"/>
    </row>
    <row r="13" customFormat="false" ht="13.8" hidden="false" customHeight="false" outlineLevel="0" collapsed="false">
      <c r="B13" s="4" t="s">
        <v>13</v>
      </c>
      <c r="C13" s="0"/>
      <c r="E13" s="0"/>
      <c r="F13" s="1" t="s">
        <v>27</v>
      </c>
      <c r="G13" s="1"/>
      <c r="H13" s="1"/>
      <c r="I13" s="1"/>
    </row>
    <row r="14" customFormat="false" ht="13.8" hidden="false" customHeight="false" outlineLevel="0" collapsed="false">
      <c r="B14" s="1" t="s">
        <v>14</v>
      </c>
      <c r="C14" s="0"/>
      <c r="E14" s="0"/>
      <c r="F14" s="1" t="s">
        <v>28</v>
      </c>
      <c r="G14" s="1"/>
      <c r="H14" s="1"/>
      <c r="I14" s="1"/>
    </row>
    <row r="15" customFormat="false" ht="13.8" hidden="false" customHeight="false" outlineLevel="0" collapsed="false">
      <c r="B15" s="1" t="s">
        <v>15</v>
      </c>
      <c r="C15" s="0"/>
      <c r="E15" s="0"/>
      <c r="F15" s="1" t="s">
        <v>41</v>
      </c>
      <c r="G15" s="1"/>
      <c r="H15" s="1"/>
      <c r="I15" s="1"/>
    </row>
    <row r="16" customFormat="false" ht="13.8" hidden="false" customHeight="false" outlineLevel="0" collapsed="false">
      <c r="B16" s="1" t="s">
        <v>16</v>
      </c>
      <c r="C16" s="0"/>
      <c r="E16" s="0"/>
      <c r="F16" s="1" t="s">
        <v>42</v>
      </c>
      <c r="G16" s="1"/>
      <c r="H16" s="1"/>
      <c r="I16" s="1"/>
    </row>
    <row r="17" customFormat="false" ht="13.8" hidden="false" customHeight="false" outlineLevel="0" collapsed="false">
      <c r="B17" s="1" t="s">
        <v>17</v>
      </c>
      <c r="C17" s="0"/>
      <c r="E17" s="0"/>
      <c r="F17" s="1" t="s">
        <v>43</v>
      </c>
      <c r="G17" s="1"/>
      <c r="H17" s="1"/>
      <c r="I17" s="1"/>
    </row>
    <row r="18" customFormat="false" ht="16.2" hidden="false" customHeight="false" outlineLevel="0" collapsed="false">
      <c r="B18" s="1" t="s">
        <v>18</v>
      </c>
      <c r="C18" s="0"/>
      <c r="E18" s="0"/>
      <c r="F18" s="18" t="s">
        <v>44</v>
      </c>
      <c r="G18" s="1"/>
      <c r="H18" s="1"/>
      <c r="I18" s="1"/>
    </row>
    <row r="19" customFormat="false" ht="16.2" hidden="false" customHeight="false" outlineLevel="0" collapsed="false">
      <c r="C19" s="0"/>
      <c r="E19" s="0"/>
      <c r="F19" s="18" t="s">
        <v>31</v>
      </c>
      <c r="G19" s="1"/>
      <c r="H19" s="1"/>
      <c r="I19" s="1"/>
    </row>
    <row r="20" customFormat="false" ht="16.2" hidden="false" customHeight="false" outlineLevel="0" collapsed="false">
      <c r="C20" s="0"/>
      <c r="E20" s="0"/>
      <c r="F20" s="18" t="s">
        <v>45</v>
      </c>
      <c r="G20" s="1"/>
      <c r="H20" s="1"/>
      <c r="I20" s="1"/>
    </row>
    <row r="21" customFormat="false" ht="16.2" hidden="false" customHeight="false" outlineLevel="0" collapsed="false">
      <c r="B21" s="3" t="s">
        <v>19</v>
      </c>
      <c r="C21" s="0"/>
      <c r="E21" s="0"/>
      <c r="F21" s="18" t="s">
        <v>32</v>
      </c>
      <c r="G21" s="3"/>
      <c r="H21" s="3"/>
      <c r="I21" s="1"/>
    </row>
    <row r="22" customFormat="false" ht="16.2" hidden="false" customHeight="false" outlineLevel="0" collapsed="false">
      <c r="B22" s="1" t="s">
        <v>124</v>
      </c>
      <c r="C22" s="0"/>
      <c r="E22" s="0"/>
      <c r="F22" s="18" t="s">
        <v>125</v>
      </c>
      <c r="G22" s="1"/>
      <c r="H22" s="1"/>
      <c r="I22" s="1"/>
    </row>
    <row r="23" customFormat="false" ht="16.2" hidden="false" customHeight="false" outlineLevel="0" collapsed="false">
      <c r="B23" s="1" t="s">
        <v>21</v>
      </c>
      <c r="C23" s="0"/>
      <c r="E23" s="0"/>
      <c r="F23" s="18" t="s">
        <v>126</v>
      </c>
      <c r="G23" s="1"/>
      <c r="H23" s="1"/>
      <c r="I23" s="1"/>
    </row>
    <row r="24" customFormat="false" ht="13.8" hidden="false" customHeight="false" outlineLevel="0" collapsed="false">
      <c r="B24" s="1" t="s">
        <v>22</v>
      </c>
      <c r="C24" s="0"/>
      <c r="E24" s="0"/>
      <c r="F24" s="1" t="s">
        <v>37</v>
      </c>
      <c r="G24" s="1"/>
      <c r="H24" s="1"/>
      <c r="I24" s="1"/>
    </row>
    <row r="25" customFormat="false" ht="13.8" hidden="false" customHeight="false" outlineLevel="0" collapsed="false">
      <c r="B25" s="1" t="s">
        <v>23</v>
      </c>
      <c r="C25" s="0"/>
      <c r="E25" s="0"/>
      <c r="F25" s="1" t="s">
        <v>127</v>
      </c>
      <c r="G25" s="1"/>
      <c r="H25" s="1"/>
      <c r="I25" s="1"/>
    </row>
    <row r="26" customFormat="false" ht="13.8" hidden="false" customHeight="false" outlineLevel="0" collapsed="false">
      <c r="B26" s="1" t="s">
        <v>24</v>
      </c>
      <c r="C26" s="0"/>
      <c r="E26" s="0"/>
      <c r="F26" s="1"/>
      <c r="G26" s="1"/>
      <c r="H26" s="1"/>
      <c r="I26" s="1"/>
    </row>
    <row r="27" customFormat="false" ht="13.8" hidden="false" customHeight="false" outlineLevel="0" collapsed="false">
      <c r="C27" s="0"/>
      <c r="E27" s="0"/>
      <c r="G27" s="1"/>
      <c r="H27" s="1"/>
      <c r="I27" s="1"/>
    </row>
    <row r="28" customFormat="false" ht="13.8" hidden="false" customHeight="false" outlineLevel="0" collapsed="false">
      <c r="C28" s="0"/>
      <c r="E28" s="0"/>
      <c r="G28" s="1"/>
      <c r="H28" s="1"/>
      <c r="I28" s="1"/>
    </row>
    <row r="29" customFormat="false" ht="13.8" hidden="false" customHeight="false" outlineLevel="0" collapsed="false">
      <c r="B29" s="4" t="s">
        <v>25</v>
      </c>
      <c r="C29" s="0"/>
      <c r="E29" s="0"/>
      <c r="G29" s="1"/>
      <c r="H29" s="1"/>
      <c r="I29" s="3"/>
    </row>
    <row r="30" customFormat="false" ht="13.8" hidden="false" customHeight="false" outlineLevel="0" collapsed="false">
      <c r="B30" s="1" t="s">
        <v>26</v>
      </c>
      <c r="C30" s="0"/>
      <c r="E30" s="0"/>
      <c r="G30" s="1"/>
      <c r="H30" s="1"/>
      <c r="I30" s="1"/>
    </row>
    <row r="31" customFormat="false" ht="13.8" hidden="false" customHeight="false" outlineLevel="0" collapsed="false">
      <c r="B31" s="1" t="s">
        <v>27</v>
      </c>
      <c r="C31" s="0"/>
      <c r="E31" s="0"/>
      <c r="G31" s="1"/>
      <c r="H31" s="1"/>
      <c r="I31" s="1"/>
    </row>
    <row r="32" customFormat="false" ht="13.8" hidden="false" customHeight="false" outlineLevel="0" collapsed="false">
      <c r="B32" s="1" t="s">
        <v>28</v>
      </c>
      <c r="C32" s="0"/>
      <c r="E32" s="0"/>
      <c r="G32" s="1"/>
      <c r="H32" s="1"/>
      <c r="I32" s="1"/>
    </row>
    <row r="33" customFormat="false" ht="13.8" hidden="false" customHeight="false" outlineLevel="0" collapsed="false">
      <c r="B33" s="1" t="s">
        <v>29</v>
      </c>
      <c r="C33" s="0"/>
      <c r="E33" s="0"/>
      <c r="G33" s="1"/>
      <c r="H33" s="1"/>
      <c r="I33" s="1"/>
    </row>
    <row r="34" customFormat="false" ht="13.8" hidden="false" customHeight="false" outlineLevel="0" collapsed="false">
      <c r="B34" s="1" t="s">
        <v>42</v>
      </c>
      <c r="C34" s="0"/>
      <c r="E34" s="0"/>
      <c r="G34" s="1"/>
      <c r="H34" s="1"/>
      <c r="I34" s="1"/>
    </row>
    <row r="35" customFormat="false" ht="16.2" hidden="false" customHeight="false" outlineLevel="0" collapsed="false">
      <c r="B35" s="18" t="s">
        <v>31</v>
      </c>
      <c r="C35" s="0"/>
      <c r="E35" s="0"/>
      <c r="G35" s="18"/>
      <c r="H35" s="1"/>
      <c r="I35" s="18"/>
    </row>
    <row r="36" customFormat="false" ht="16.2" hidden="false" customHeight="false" outlineLevel="0" collapsed="false">
      <c r="B36" s="18" t="s">
        <v>32</v>
      </c>
      <c r="C36" s="0"/>
      <c r="E36" s="0"/>
      <c r="G36" s="18"/>
      <c r="H36" s="1"/>
      <c r="I36" s="18"/>
    </row>
    <row r="37" customFormat="false" ht="13.8" hidden="false" customHeight="false" outlineLevel="0" collapsed="false">
      <c r="B37" s="1" t="s">
        <v>38</v>
      </c>
      <c r="C37" s="0"/>
      <c r="E37" s="0"/>
      <c r="G37" s="18"/>
      <c r="H37" s="1"/>
      <c r="I37" s="1"/>
    </row>
    <row r="38" customFormat="false" ht="13.8" hidden="false" customHeight="false" outlineLevel="0" collapsed="false">
      <c r="D38" s="1"/>
    </row>
    <row r="39" customFormat="false" ht="13.8" hidden="false" customHeight="false" outlineLevel="0" collapsed="false">
      <c r="B39" s="0"/>
      <c r="C39" s="0"/>
      <c r="E39" s="0"/>
    </row>
    <row r="40" customFormat="false" ht="13.8" hidden="false" customHeight="false" outlineLevel="0" collapsed="false">
      <c r="B40" s="0"/>
      <c r="C40" s="0"/>
      <c r="E40" s="0"/>
    </row>
    <row r="41" customFormat="false" ht="13.8" hidden="false" customHeight="false" outlineLevel="0" collapsed="false">
      <c r="B41" s="0"/>
      <c r="C41" s="0"/>
      <c r="E41" s="0"/>
    </row>
    <row r="42" customFormat="false" ht="13.8" hidden="false" customHeight="false" outlineLevel="0" collapsed="false">
      <c r="B42" s="0"/>
      <c r="C42" s="0"/>
      <c r="E42" s="0"/>
    </row>
    <row r="43" customFormat="false" ht="13.8" hidden="false" customHeight="false" outlineLevel="0" collapsed="false">
      <c r="B43" s="0"/>
      <c r="C43" s="0"/>
      <c r="E43" s="0"/>
    </row>
    <row r="44" customFormat="false" ht="13.8" hidden="false" customHeight="false" outlineLevel="0" collapsed="false">
      <c r="B44" s="0"/>
      <c r="C44" s="0"/>
      <c r="E44" s="0"/>
    </row>
    <row r="45" customFormat="false" ht="13.8" hidden="false" customHeight="false" outlineLevel="0" collapsed="false">
      <c r="B45" s="0"/>
      <c r="C45" s="0"/>
      <c r="E45" s="0"/>
    </row>
    <row r="46" customFormat="false" ht="13.8" hidden="false" customHeight="false" outlineLevel="0" collapsed="false">
      <c r="B46" s="0"/>
      <c r="C46" s="0"/>
      <c r="E46" s="0"/>
    </row>
    <row r="47" customFormat="false" ht="13.8" hidden="false" customHeight="false" outlineLevel="0" collapsed="false">
      <c r="B47" s="0"/>
      <c r="C47" s="0"/>
      <c r="E47" s="0"/>
    </row>
    <row r="48" customFormat="false" ht="13.8" hidden="false" customHeight="false" outlineLevel="0" collapsed="false">
      <c r="B48" s="0"/>
      <c r="C48" s="0"/>
      <c r="E48" s="0"/>
    </row>
    <row r="49" customFormat="false" ht="13.8" hidden="false" customHeight="false" outlineLevel="0" collapsed="false">
      <c r="B49" s="0"/>
      <c r="C49" s="0"/>
      <c r="E49" s="0"/>
    </row>
    <row r="50" customFormat="false" ht="13.8" hidden="false" customHeight="false" outlineLevel="0" collapsed="false">
      <c r="B50" s="0"/>
      <c r="C50" s="0"/>
      <c r="E50" s="0"/>
    </row>
    <row r="51" customFormat="false" ht="13.8" hidden="false" customHeight="false" outlineLevel="0" collapsed="false">
      <c r="B51" s="0"/>
      <c r="C51" s="0"/>
      <c r="E51" s="0"/>
    </row>
    <row r="52" customFormat="false" ht="13.8" hidden="false" customHeight="false" outlineLevel="0" collapsed="false">
      <c r="B52" s="0"/>
      <c r="C52" s="0"/>
      <c r="E52" s="0"/>
    </row>
    <row r="53" customFormat="false" ht="13.8" hidden="false" customHeight="false" outlineLevel="0" collapsed="false">
      <c r="B53" s="0"/>
      <c r="C53" s="0"/>
      <c r="E53" s="0"/>
    </row>
    <row r="54" customFormat="false" ht="13.8" hidden="false" customHeight="false" outlineLevel="0" collapsed="false">
      <c r="B54" s="0"/>
      <c r="C54" s="0"/>
      <c r="E54" s="0"/>
    </row>
    <row r="55" customFormat="false" ht="13.8" hidden="false" customHeight="false" outlineLevel="0" collapsed="false">
      <c r="B55" s="0"/>
      <c r="C55" s="0"/>
      <c r="E55" s="0"/>
    </row>
    <row r="56" customFormat="false" ht="13.8" hidden="false" customHeight="false" outlineLevel="0" collapsed="false">
      <c r="B56" s="0"/>
      <c r="C56" s="0"/>
      <c r="E56" s="0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7" colorId="64" zoomScale="103" zoomScaleNormal="103" zoomScalePageLayoutView="100" workbookViewId="0">
      <selection pane="topLeft" activeCell="B33" activeCellId="0" sqref="B33"/>
    </sheetView>
  </sheetViews>
  <sheetFormatPr defaultColWidth="10.16015625" defaultRowHeight="12.8" customHeight="true" zeroHeight="false" outlineLevelRow="0" outlineLevelCol="0"/>
  <cols>
    <col collapsed="false" customWidth="true" hidden="false" outlineLevel="0" max="1" min="1" style="28" width="34.53"/>
    <col collapsed="false" customWidth="true" hidden="false" outlineLevel="0" max="2" min="2" style="28" width="12.82"/>
    <col collapsed="false" customWidth="true" hidden="false" outlineLevel="0" max="3" min="3" style="29" width="1.12"/>
    <col collapsed="false" customWidth="true" hidden="false" outlineLevel="0" max="4" min="4" style="30" width="15.75"/>
    <col collapsed="false" customWidth="true" hidden="false" outlineLevel="0" max="6" min="5" style="30" width="12.83"/>
    <col collapsed="false" customWidth="false" hidden="false" outlineLevel="0" max="10" min="7" style="30" width="10.16"/>
    <col collapsed="false" customWidth="true" hidden="false" outlineLevel="0" max="11" min="11" style="30" width="12.9"/>
    <col collapsed="false" customWidth="false" hidden="false" outlineLevel="0" max="14" min="12" style="30" width="10.16"/>
    <col collapsed="false" customWidth="true" hidden="false" outlineLevel="0" max="15" min="15" style="31" width="1.26"/>
    <col collapsed="false" customWidth="true" hidden="false" outlineLevel="0" max="16" min="16" style="30" width="4.79"/>
    <col collapsed="false" customWidth="true" hidden="false" outlineLevel="0" max="17" min="17" style="30" width="5.43"/>
    <col collapsed="false" customWidth="false" hidden="false" outlineLevel="0" max="19" min="18" style="30" width="10.16"/>
    <col collapsed="false" customWidth="true" hidden="false" outlineLevel="0" max="20" min="20" style="30" width="7.12"/>
    <col collapsed="false" customWidth="false" hidden="false" outlineLevel="0" max="22" min="21" style="30" width="10.16"/>
    <col collapsed="false" customWidth="true" hidden="false" outlineLevel="0" max="23" min="23" style="30" width="8.32"/>
    <col collapsed="false" customWidth="true" hidden="false" outlineLevel="0" max="25" min="24" style="30" width="4.59"/>
    <col collapsed="false" customWidth="false" hidden="false" outlineLevel="0" max="27" min="26" style="30" width="10.16"/>
  </cols>
  <sheetData>
    <row r="1" customFormat="false" ht="12.8" hidden="false" customHeight="false" outlineLevel="0" collapsed="false">
      <c r="A1" s="28" t="s">
        <v>48</v>
      </c>
      <c r="B1" s="28" t="s">
        <v>49</v>
      </c>
      <c r="D1" s="30" t="s">
        <v>50</v>
      </c>
      <c r="E1" s="30" t="s">
        <v>51</v>
      </c>
      <c r="F1" s="30" t="s">
        <v>52</v>
      </c>
      <c r="G1" s="30" t="s">
        <v>53</v>
      </c>
      <c r="H1" s="30" t="s">
        <v>54</v>
      </c>
      <c r="I1" s="30" t="s">
        <v>55</v>
      </c>
      <c r="J1" s="30" t="s">
        <v>56</v>
      </c>
      <c r="K1" s="30" t="s">
        <v>57</v>
      </c>
      <c r="L1" s="30" t="s">
        <v>58</v>
      </c>
      <c r="M1" s="30" t="s">
        <v>59</v>
      </c>
      <c r="N1" s="30" t="s">
        <v>60</v>
      </c>
    </row>
    <row r="2" customFormat="false" ht="12.8" hidden="false" customHeight="false" outlineLevel="0" collapsed="false">
      <c r="A2" s="32" t="n">
        <v>5500</v>
      </c>
      <c r="B2" s="32" t="n">
        <v>2800</v>
      </c>
      <c r="D2" s="33" t="s">
        <v>128</v>
      </c>
      <c r="E2" s="34" t="n">
        <v>1300</v>
      </c>
      <c r="F2" s="34" t="n">
        <v>1400</v>
      </c>
      <c r="G2" s="34" t="n">
        <v>3</v>
      </c>
      <c r="H2" s="34" t="n">
        <v>1</v>
      </c>
      <c r="I2" s="34" t="n">
        <v>1</v>
      </c>
      <c r="J2" s="34" t="n">
        <v>1</v>
      </c>
      <c r="K2" s="34" t="s">
        <v>62</v>
      </c>
      <c r="L2" s="34" t="n">
        <v>400</v>
      </c>
      <c r="M2" s="34" t="n">
        <v>500</v>
      </c>
      <c r="N2" s="34" t="n">
        <v>24</v>
      </c>
    </row>
    <row r="3" customFormat="false" ht="22.15" hidden="false" customHeight="false" outlineLevel="0" collapsed="false">
      <c r="D3" s="35" t="s">
        <v>63</v>
      </c>
      <c r="K3" s="34" t="s">
        <v>64</v>
      </c>
      <c r="L3" s="34" t="n">
        <v>480</v>
      </c>
      <c r="M3" s="34" t="n">
        <v>500</v>
      </c>
    </row>
    <row r="4" customFormat="false" ht="12.8" hidden="false" customHeight="false" outlineLevel="0" collapsed="false">
      <c r="K4" s="34" t="s">
        <v>65</v>
      </c>
      <c r="L4" s="34" t="n">
        <v>500</v>
      </c>
      <c r="M4" s="34" t="n">
        <v>500</v>
      </c>
    </row>
    <row r="5" customFormat="false" ht="12.8" hidden="false" customHeight="false" outlineLevel="0" collapsed="false">
      <c r="K5" s="34" t="s">
        <v>66</v>
      </c>
      <c r="L5" s="34" t="n">
        <v>50</v>
      </c>
      <c r="M5" s="34" t="n">
        <v>50</v>
      </c>
    </row>
    <row r="6" customFormat="false" ht="12.8" hidden="false" customHeight="true" outlineLevel="0" collapsed="false">
      <c r="D6" s="36"/>
      <c r="M6" s="30" t="n">
        <v>5</v>
      </c>
    </row>
    <row r="7" customFormat="false" ht="34.75" hidden="false" customHeight="true" outlineLevel="0" collapsed="false">
      <c r="A7" s="85"/>
      <c r="B7" s="85"/>
      <c r="C7" s="86"/>
      <c r="D7" s="38" t="s">
        <v>67</v>
      </c>
      <c r="E7" s="38" t="s">
        <v>68</v>
      </c>
      <c r="F7" s="38" t="s">
        <v>69</v>
      </c>
      <c r="G7" s="38" t="s">
        <v>70</v>
      </c>
      <c r="H7" s="38" t="s">
        <v>71</v>
      </c>
      <c r="I7" s="38" t="s">
        <v>129</v>
      </c>
      <c r="J7" s="38" t="s">
        <v>130</v>
      </c>
      <c r="K7" s="38" t="s">
        <v>74</v>
      </c>
      <c r="L7" s="38" t="s">
        <v>75</v>
      </c>
    </row>
    <row r="8" customFormat="false" ht="13.8" hidden="false" customHeight="false" outlineLevel="0" collapsed="false">
      <c r="A8" s="87"/>
      <c r="B8" s="88"/>
      <c r="C8" s="89"/>
      <c r="D8" s="39" t="n">
        <v>480</v>
      </c>
      <c r="E8" s="40" t="n">
        <v>100</v>
      </c>
      <c r="F8" s="40" t="n">
        <v>7</v>
      </c>
      <c r="G8" s="40" t="n">
        <v>0.6</v>
      </c>
      <c r="H8" s="40" t="n">
        <v>0.8</v>
      </c>
      <c r="I8" s="40" t="n">
        <v>6000</v>
      </c>
      <c r="J8" s="40" t="n">
        <v>2000</v>
      </c>
      <c r="K8" s="41" t="n">
        <v>45000</v>
      </c>
      <c r="L8" s="40" t="n">
        <v>0</v>
      </c>
      <c r="T8" s="30" t="s">
        <v>76</v>
      </c>
    </row>
    <row r="9" customFormat="false" ht="18.65" hidden="false" customHeight="true" outlineLevel="0" collapsed="false">
      <c r="A9" s="87"/>
      <c r="B9" s="90"/>
      <c r="C9" s="91"/>
      <c r="D9" s="40"/>
      <c r="E9" s="42" t="n">
        <v>100</v>
      </c>
      <c r="F9" s="40" t="n">
        <v>25</v>
      </c>
      <c r="G9" s="40" t="n">
        <v>0.7</v>
      </c>
      <c r="H9" s="40" t="n">
        <v>0.3</v>
      </c>
      <c r="I9" s="40"/>
      <c r="J9" s="40"/>
      <c r="K9" s="40" t="n">
        <f aca="false">ROUND(   (     ( (A2+(I2+J2)*500+2*$D$8)*(B2+(G2+H2)*500+2*$D$8) - A2*B2 )/1000000   )   * $K$8 * (1+$L$8) ,2)</f>
        <v>1240632</v>
      </c>
      <c r="L9" s="40"/>
      <c r="P9" s="44"/>
      <c r="Q9" s="44"/>
      <c r="R9" s="44"/>
      <c r="S9" s="44"/>
      <c r="T9" s="44"/>
      <c r="U9" s="44"/>
      <c r="V9" s="44"/>
      <c r="W9" s="44"/>
      <c r="X9" s="44"/>
      <c r="Y9" s="44"/>
      <c r="Z9" s="72"/>
    </row>
    <row r="10" customFormat="false" ht="13.8" hidden="false" customHeight="false" outlineLevel="0" collapsed="false">
      <c r="A10" s="87"/>
      <c r="B10" s="90"/>
      <c r="C10" s="91"/>
      <c r="D10" s="40"/>
      <c r="E10" s="40" t="n">
        <v>5</v>
      </c>
      <c r="F10" s="40"/>
      <c r="G10" s="40" t="n">
        <v>1</v>
      </c>
      <c r="H10" s="40" t="n">
        <v>0.6</v>
      </c>
      <c r="I10" s="40"/>
      <c r="J10" s="40"/>
      <c r="K10" s="40"/>
      <c r="L10" s="40"/>
      <c r="P10" s="46"/>
      <c r="Q10" s="46"/>
      <c r="R10" s="47"/>
      <c r="S10" s="47"/>
      <c r="T10" s="47"/>
      <c r="U10" s="47"/>
      <c r="V10" s="47"/>
      <c r="W10" s="47"/>
      <c r="X10" s="46"/>
      <c r="Y10" s="46"/>
      <c r="Z10" s="0"/>
    </row>
    <row r="11" customFormat="false" ht="13.8" hidden="false" customHeight="false" outlineLevel="0" collapsed="false">
      <c r="A11" s="87"/>
      <c r="B11" s="92"/>
      <c r="C11" s="93"/>
      <c r="D11" s="48"/>
      <c r="E11" s="48"/>
      <c r="P11" s="94" t="s">
        <v>77</v>
      </c>
      <c r="Q11" s="94" t="s">
        <v>77</v>
      </c>
      <c r="R11" s="95" t="s">
        <v>77</v>
      </c>
      <c r="S11" s="95" t="s">
        <v>77</v>
      </c>
      <c r="T11" s="95" t="s">
        <v>77</v>
      </c>
      <c r="U11" s="95" t="s">
        <v>77</v>
      </c>
      <c r="V11" s="95" t="s">
        <v>77</v>
      </c>
      <c r="W11" s="95" t="s">
        <v>77</v>
      </c>
      <c r="X11" s="94" t="s">
        <v>77</v>
      </c>
      <c r="Y11" s="94" t="s">
        <v>77</v>
      </c>
      <c r="Z11" s="0"/>
    </row>
    <row r="12" customFormat="false" ht="12.8" hidden="false" customHeight="true" outlineLevel="0" collapsed="false">
      <c r="A12" s="96" t="s">
        <v>79</v>
      </c>
      <c r="B12" s="96"/>
      <c r="C12" s="50"/>
      <c r="D12" s="97" t="s">
        <v>80</v>
      </c>
      <c r="E12" s="97"/>
      <c r="H12" s="30" t="s">
        <v>81</v>
      </c>
      <c r="I12" s="30" t="s">
        <v>82</v>
      </c>
      <c r="J12" s="30" t="s">
        <v>83</v>
      </c>
      <c r="P12" s="94" t="s">
        <v>77</v>
      </c>
      <c r="Q12" s="94" t="s">
        <v>77</v>
      </c>
      <c r="R12" s="95" t="s">
        <v>77</v>
      </c>
      <c r="S12" s="95" t="s">
        <v>77</v>
      </c>
      <c r="T12" s="95" t="s">
        <v>77</v>
      </c>
      <c r="U12" s="95" t="s">
        <v>77</v>
      </c>
      <c r="V12" s="95" t="s">
        <v>77</v>
      </c>
      <c r="W12" s="95" t="s">
        <v>77</v>
      </c>
      <c r="X12" s="94" t="s">
        <v>77</v>
      </c>
      <c r="Y12" s="94" t="s">
        <v>77</v>
      </c>
      <c r="Z12" s="0"/>
    </row>
    <row r="13" customFormat="false" ht="12.8" hidden="false" customHeight="true" outlineLevel="0" collapsed="false">
      <c r="A13" s="52" t="s">
        <v>84</v>
      </c>
      <c r="B13" s="53" t="str">
        <f aca="false">($A$2*$B$2/1000000) &amp; "m²"</f>
        <v>15,4m²</v>
      </c>
      <c r="C13" s="98"/>
      <c r="D13" s="99" t="s">
        <v>85</v>
      </c>
      <c r="E13" s="100" t="str">
        <f aca="false">_xlfn.IFS(  $D$2="terminacion", ROUNDUP(($A$2/$M$3*2)+($B$2/$M$2*2),0) &amp; " Terminación",  $D$2="lomo", ROUNDUP(($A$2/$M$3*2)+($B$2/$M$2*2)+4,0) &amp; " Lomo Ballena" )</f>
        <v>34 Terminación</v>
      </c>
      <c r="G13" s="30" t="s">
        <v>86</v>
      </c>
      <c r="H13" s="30" t="n">
        <f aca="false">COUNTIF(grilla,"C")</f>
        <v>70</v>
      </c>
      <c r="I13" s="57" t="n">
        <v>0.25</v>
      </c>
      <c r="J13" s="30" t="n">
        <f aca="false">COUNTIF(grilla,"C")*0.25</f>
        <v>17.5</v>
      </c>
      <c r="P13" s="94" t="s">
        <v>77</v>
      </c>
      <c r="Q13" s="94" t="s">
        <v>77</v>
      </c>
      <c r="R13" s="95" t="s">
        <v>77</v>
      </c>
      <c r="S13" s="95" t="s">
        <v>77</v>
      </c>
      <c r="T13" s="95" t="s">
        <v>77</v>
      </c>
      <c r="U13" s="95" t="s">
        <v>77</v>
      </c>
      <c r="V13" s="95" t="s">
        <v>77</v>
      </c>
      <c r="W13" s="95" t="s">
        <v>77</v>
      </c>
      <c r="X13" s="94" t="s">
        <v>77</v>
      </c>
      <c r="Y13" s="94" t="s">
        <v>77</v>
      </c>
      <c r="Z13" s="0"/>
    </row>
    <row r="14" customFormat="false" ht="14.9" hidden="false" customHeight="false" outlineLevel="0" collapsed="false">
      <c r="A14" s="52" t="s">
        <v>87</v>
      </c>
      <c r="B14" s="53" t="str">
        <f aca="false">ROUNDUP((($A$2+1000)*($B$2+1000))/1000000,0) * ($E$9/1000) &amp; "m³"</f>
        <v>2,5m³</v>
      </c>
      <c r="C14" s="98"/>
      <c r="D14" s="99" t="s">
        <v>88</v>
      </c>
      <c r="E14" s="101" t="str">
        <f aca="false">IF($D$2="LOMO",COUNTIF(grilla,"E"),"-")</f>
        <v>-</v>
      </c>
      <c r="G14" s="30" t="s">
        <v>89</v>
      </c>
      <c r="H14" s="30" t="str">
        <f aca="false">IF(COUNTIF(grilla,"E")=0,"-",COUNTIF(grilla,"E"))</f>
        <v>-</v>
      </c>
      <c r="I14" s="57" t="n">
        <f aca="false">0.25-0.05</f>
        <v>0.2</v>
      </c>
      <c r="J14" s="59" t="n">
        <f aca="false">COUNTIF(grilla,"E")*(0.4*0.4 - (M6/1000)^2)</f>
        <v>0</v>
      </c>
      <c r="P14" s="94" t="s">
        <v>77</v>
      </c>
      <c r="Q14" s="102" t="s">
        <v>77</v>
      </c>
      <c r="R14" s="95" t="s">
        <v>92</v>
      </c>
      <c r="S14" s="95" t="s">
        <v>92</v>
      </c>
      <c r="T14" s="95" t="s">
        <v>92</v>
      </c>
      <c r="U14" s="95" t="s">
        <v>92</v>
      </c>
      <c r="V14" s="95" t="s">
        <v>92</v>
      </c>
      <c r="W14" s="95" t="s">
        <v>92</v>
      </c>
      <c r="X14" s="102" t="s">
        <v>77</v>
      </c>
      <c r="Y14" s="94" t="s">
        <v>77</v>
      </c>
      <c r="Z14" s="0"/>
    </row>
    <row r="15" customFormat="false" ht="14.9" hidden="false" customHeight="false" outlineLevel="0" collapsed="false">
      <c r="A15" s="61" t="s">
        <v>93</v>
      </c>
      <c r="B15" s="103" t="n">
        <f aca="false">ROUNDUP(($A$2+1000)*($B$2+1000),0)/1000000*($E$9/1000)*$G$9</f>
        <v>1.729</v>
      </c>
      <c r="C15" s="104"/>
      <c r="D15" s="99" t="s">
        <v>94</v>
      </c>
      <c r="E15" s="101" t="n">
        <f aca="false">COUNTIF(grilla,"C")</f>
        <v>70</v>
      </c>
      <c r="G15" s="30" t="s">
        <v>95</v>
      </c>
      <c r="H15" s="30" t="str">
        <f aca="false">IF(COUNTIF(grilla,"R")=0,"-",COUNTIF(grilla,"R"))</f>
        <v>-</v>
      </c>
      <c r="I15" s="57" t="n">
        <v>0.1</v>
      </c>
      <c r="J15" s="59" t="n">
        <f aca="false">COUNTIF(grilla,"R")*0.1</f>
        <v>0</v>
      </c>
      <c r="P15" s="95" t="s">
        <v>77</v>
      </c>
      <c r="Q15" s="95" t="s">
        <v>91</v>
      </c>
      <c r="R15" s="105"/>
      <c r="S15" s="105"/>
      <c r="T15" s="105"/>
      <c r="U15" s="105"/>
      <c r="V15" s="105"/>
      <c r="W15" s="105"/>
      <c r="X15" s="95" t="s">
        <v>92</v>
      </c>
      <c r="Y15" s="95" t="s">
        <v>77</v>
      </c>
      <c r="Z15" s="0"/>
    </row>
    <row r="16" customFormat="false" ht="13.8" hidden="false" customHeight="false" outlineLevel="0" collapsed="false">
      <c r="A16" s="61" t="s">
        <v>96</v>
      </c>
      <c r="B16" s="62" t="n">
        <f aca="false">((($A$2+1000)*($B$2+1000))/1000000) * ($E$9/1000) * $H$9</f>
        <v>0.741</v>
      </c>
      <c r="C16" s="106"/>
      <c r="D16" s="107" t="s">
        <v>97</v>
      </c>
      <c r="E16" s="108" t="n">
        <f aca="false">$J$18</f>
        <v>25.66</v>
      </c>
      <c r="G16" s="30" t="s">
        <v>61</v>
      </c>
      <c r="H16" s="30" t="n">
        <f aca="false">IF(COUNTIF(grilla,"T")=0,"-",COUNTIF(grilla,"t"))</f>
        <v>34</v>
      </c>
      <c r="I16" s="57" t="n">
        <v>0.24</v>
      </c>
      <c r="J16" s="59" t="n">
        <f aca="false">COUNTIF(grilla,"T")*0.24</f>
        <v>8.16</v>
      </c>
      <c r="P16" s="95" t="s">
        <v>77</v>
      </c>
      <c r="Q16" s="95" t="s">
        <v>92</v>
      </c>
      <c r="R16" s="105"/>
      <c r="S16" s="105"/>
      <c r="T16" s="105"/>
      <c r="U16" s="105"/>
      <c r="V16" s="105"/>
      <c r="W16" s="105"/>
      <c r="X16" s="95" t="s">
        <v>92</v>
      </c>
      <c r="Y16" s="95" t="s">
        <v>77</v>
      </c>
      <c r="Z16" s="0"/>
    </row>
    <row r="17" customFormat="false" ht="13.8" hidden="false" customHeight="false" outlineLevel="0" collapsed="false">
      <c r="A17" s="61" t="s">
        <v>98</v>
      </c>
      <c r="B17" s="62" t="n">
        <f aca="false">ROUNDUP(   ( (($A$2+1000)*($B$2+1000) - $A$2*$B$2) / 1000000 )   / ( IF($I$8&gt;50, $I$8/1000, $I$8) * IF($J$8&gt;50, $J$8/1000, $J$8) ) , 0)</f>
        <v>1</v>
      </c>
      <c r="C17" s="106"/>
      <c r="D17" s="107" t="s">
        <v>99</v>
      </c>
      <c r="E17" s="108" t="n">
        <f aca="false">ROUNDUP($E$16*($E$8/1000),0)</f>
        <v>3</v>
      </c>
      <c r="G17" s="30" t="s">
        <v>100</v>
      </c>
      <c r="H17" s="30" t="str">
        <f aca="false">IF(COUNTIF(P9:Y28,"L")=0,"-",COUNTIF(9:Y28,"L"))</f>
        <v>-</v>
      </c>
      <c r="I17" s="57" t="n">
        <v>0.2</v>
      </c>
      <c r="J17" s="59" t="n">
        <f aca="false">COUNTIF(grilla,"L")*0.2</f>
        <v>0</v>
      </c>
      <c r="P17" s="95" t="s">
        <v>77</v>
      </c>
      <c r="Q17" s="95" t="s">
        <v>92</v>
      </c>
      <c r="R17" s="105"/>
      <c r="S17" s="105"/>
      <c r="T17" s="105"/>
      <c r="U17" s="105"/>
      <c r="V17" s="105"/>
      <c r="W17" s="105"/>
      <c r="X17" s="95" t="s">
        <v>92</v>
      </c>
      <c r="Y17" s="95" t="s">
        <v>77</v>
      </c>
      <c r="Z17" s="0"/>
    </row>
    <row r="18" customFormat="false" ht="28.35" hidden="false" customHeight="false" outlineLevel="0" collapsed="false">
      <c r="A18" s="61" t="s">
        <v>101</v>
      </c>
      <c r="B18" s="62" t="n">
        <f aca="false">((($A$2+2*$F$2)/1000)*(($B$2+2*$F$2)/1000)*($E$9/1000) - ($A$2/1000)*($B$2/1000)*($E$9/1000))</f>
        <v>3.108</v>
      </c>
      <c r="C18" s="106"/>
      <c r="D18" s="99" t="s">
        <v>102</v>
      </c>
      <c r="E18" s="101" t="n">
        <f aca="false">ROUNDUP($E$16*($E$8/1000)*$F$8,0)</f>
        <v>18</v>
      </c>
      <c r="G18" s="30" t="s">
        <v>103</v>
      </c>
      <c r="J18" s="30" t="n">
        <f aca="false">SUM($J$13:$J$17)</f>
        <v>25.66</v>
      </c>
      <c r="P18" s="95" t="s">
        <v>77</v>
      </c>
      <c r="Q18" s="95" t="s">
        <v>92</v>
      </c>
      <c r="R18" s="105"/>
      <c r="S18" s="105"/>
      <c r="T18" s="105"/>
      <c r="U18" s="105"/>
      <c r="V18" s="105"/>
      <c r="W18" s="105"/>
      <c r="X18" s="95" t="s">
        <v>92</v>
      </c>
      <c r="Y18" s="95" t="s">
        <v>77</v>
      </c>
      <c r="Z18" s="0"/>
    </row>
    <row r="19" customFormat="false" ht="15.2" hidden="false" customHeight="false" outlineLevel="0" collapsed="false">
      <c r="A19" s="61" t="s">
        <v>104</v>
      </c>
      <c r="B19" s="66" t="n">
        <v>8</v>
      </c>
      <c r="C19" s="109"/>
      <c r="D19" s="99" t="s">
        <v>93</v>
      </c>
      <c r="E19" s="110" t="n">
        <f aca="false">ROUNDUP($E$16*($E$8/1000),0)</f>
        <v>3</v>
      </c>
      <c r="H19" s="1"/>
      <c r="I19" s="1"/>
      <c r="J19" s="1"/>
      <c r="P19" s="95" t="s">
        <v>77</v>
      </c>
      <c r="Q19" s="95" t="s">
        <v>92</v>
      </c>
      <c r="R19" s="105"/>
      <c r="S19" s="105"/>
      <c r="T19" s="105"/>
      <c r="U19" s="105"/>
      <c r="V19" s="105"/>
      <c r="W19" s="105"/>
      <c r="X19" s="95" t="s">
        <v>92</v>
      </c>
      <c r="Y19" s="95" t="s">
        <v>77</v>
      </c>
      <c r="Z19" s="0"/>
    </row>
    <row r="20" customFormat="false" ht="12.8" hidden="false" customHeight="true" outlineLevel="0" collapsed="false">
      <c r="A20" s="61" t="s">
        <v>105</v>
      </c>
      <c r="B20" s="66" t="n">
        <v>10</v>
      </c>
      <c r="C20" s="109"/>
      <c r="D20" s="99" t="s">
        <v>106</v>
      </c>
      <c r="E20" s="110" t="n">
        <f aca="false">(( ($A$2+($I$2+$J$2)*500+2*$D$8)*($B$2+($G$2+$H$2)*500+2*$D$8) -$A$2*$B$2 ) / 1000000) * ($E$8/1000) * $H$10</f>
        <v>1.654176</v>
      </c>
      <c r="P20" s="95" t="s">
        <v>77</v>
      </c>
      <c r="Q20" s="95" t="s">
        <v>92</v>
      </c>
      <c r="R20" s="105"/>
      <c r="S20" s="105"/>
      <c r="T20" s="105"/>
      <c r="U20" s="105"/>
      <c r="V20" s="105"/>
      <c r="W20" s="105"/>
      <c r="X20" s="95" t="s">
        <v>92</v>
      </c>
      <c r="Y20" s="95" t="s">
        <v>77</v>
      </c>
      <c r="Z20" s="0"/>
    </row>
    <row r="21" customFormat="false" ht="12.8" hidden="false" customHeight="true" outlineLevel="0" collapsed="false">
      <c r="A21" s="61" t="s">
        <v>107</v>
      </c>
      <c r="B21" s="66" t="n">
        <v>50</v>
      </c>
      <c r="C21" s="109"/>
      <c r="D21" s="99" t="s">
        <v>98</v>
      </c>
      <c r="E21" s="101" t="n">
        <f aca="false">ROUNDUP(  $E$16 /   ( IF($I$8&gt;50,$I$8/1000,$I$8) *     IF($J$8&gt;50,$J$8/1000,$J$8) ) ,0)</f>
        <v>3</v>
      </c>
      <c r="P21" s="95" t="s">
        <v>77</v>
      </c>
      <c r="Q21" s="95" t="s">
        <v>92</v>
      </c>
      <c r="R21" s="105"/>
      <c r="S21" s="105"/>
      <c r="T21" s="105"/>
      <c r="U21" s="105"/>
      <c r="V21" s="105"/>
      <c r="W21" s="105"/>
      <c r="X21" s="95" t="s">
        <v>92</v>
      </c>
      <c r="Y21" s="95" t="s">
        <v>77</v>
      </c>
      <c r="Z21" s="0"/>
    </row>
    <row r="22" customFormat="false" ht="12.8" hidden="false" customHeight="true" outlineLevel="0" collapsed="false">
      <c r="A22" s="61" t="s">
        <v>108</v>
      </c>
      <c r="B22" s="66" t="n">
        <v>40</v>
      </c>
      <c r="C22" s="109"/>
      <c r="D22" s="99" t="s">
        <v>109</v>
      </c>
      <c r="E22" s="101" t="n">
        <v>1</v>
      </c>
      <c r="P22" s="95" t="s">
        <v>77</v>
      </c>
      <c r="Q22" s="95" t="s">
        <v>92</v>
      </c>
      <c r="R22" s="105"/>
      <c r="S22" s="105"/>
      <c r="T22" s="105"/>
      <c r="U22" s="105"/>
      <c r="V22" s="105"/>
      <c r="W22" s="105"/>
      <c r="X22" s="95" t="s">
        <v>92</v>
      </c>
      <c r="Y22" s="95" t="s">
        <v>77</v>
      </c>
      <c r="Z22" s="0"/>
    </row>
    <row r="23" customFormat="false" ht="12.8" hidden="false" customHeight="true" outlineLevel="0" collapsed="false">
      <c r="A23" s="61" t="s">
        <v>110</v>
      </c>
      <c r="B23" s="66" t="n">
        <v>8</v>
      </c>
      <c r="C23" s="109"/>
      <c r="D23" s="99" t="s">
        <v>111</v>
      </c>
      <c r="E23" s="101" t="n">
        <v>1</v>
      </c>
      <c r="P23" s="95" t="s">
        <v>77</v>
      </c>
      <c r="Q23" s="95" t="s">
        <v>92</v>
      </c>
      <c r="R23" s="105"/>
      <c r="S23" s="105"/>
      <c r="T23" s="105"/>
      <c r="U23" s="105"/>
      <c r="V23" s="105"/>
      <c r="W23" s="105"/>
      <c r="X23" s="95" t="s">
        <v>92</v>
      </c>
      <c r="Y23" s="95" t="s">
        <v>77</v>
      </c>
      <c r="Z23" s="0"/>
    </row>
    <row r="24" customFormat="false" ht="12.8" hidden="false" customHeight="true" outlineLevel="0" collapsed="false">
      <c r="A24" s="61" t="s">
        <v>112</v>
      </c>
      <c r="B24" s="66" t="n">
        <v>6</v>
      </c>
      <c r="C24" s="109"/>
      <c r="D24" s="111" t="s">
        <v>113</v>
      </c>
      <c r="E24" s="112" t="n">
        <f aca="false">ROUNDUP( $E$16 * ($E$10* 0.09) / 30 , 0 )</f>
        <v>1</v>
      </c>
      <c r="P24" s="95" t="s">
        <v>77</v>
      </c>
      <c r="Q24" s="95" t="s">
        <v>92</v>
      </c>
      <c r="R24" s="113"/>
      <c r="S24" s="114"/>
      <c r="T24" s="114"/>
      <c r="U24" s="114"/>
      <c r="V24" s="114"/>
      <c r="W24" s="114"/>
      <c r="X24" s="95" t="s">
        <v>92</v>
      </c>
      <c r="Y24" s="95" t="s">
        <v>77</v>
      </c>
      <c r="Z24" s="0"/>
    </row>
    <row r="25" customFormat="false" ht="13.8" hidden="false" customHeight="false" outlineLevel="0" collapsed="false">
      <c r="A25" s="61" t="s">
        <v>114</v>
      </c>
      <c r="B25" s="66" t="n">
        <v>6</v>
      </c>
      <c r="C25" s="109"/>
      <c r="D25" s="99"/>
      <c r="E25" s="101"/>
      <c r="P25" s="95" t="s">
        <v>77</v>
      </c>
      <c r="Q25" s="95" t="s">
        <v>92</v>
      </c>
      <c r="R25" s="113"/>
      <c r="S25" s="114"/>
      <c r="T25" s="114"/>
      <c r="U25" s="114"/>
      <c r="V25" s="114"/>
      <c r="W25" s="114"/>
      <c r="X25" s="95" t="s">
        <v>92</v>
      </c>
      <c r="Y25" s="95" t="s">
        <v>77</v>
      </c>
      <c r="Z25" s="0"/>
    </row>
    <row r="26" customFormat="false" ht="28.35" hidden="false" customHeight="false" outlineLevel="0" collapsed="false">
      <c r="A26" s="61" t="s">
        <v>115</v>
      </c>
      <c r="B26" s="66" t="n">
        <v>14</v>
      </c>
      <c r="C26" s="109"/>
      <c r="D26" s="99" t="s">
        <v>116</v>
      </c>
      <c r="E26" s="110" t="n">
        <f aca="false">( ($A$2/1000 + 2*IF($D$2="LOMO",0.4,0.48)) *    ($B$2/1000 + 2*IF($D$2="LOMO",0.4,0.48))    - ($A$2/1000)*($B$2/1000) )  - IF($D$2="LOMO", 4*POWER($M$5/1000,2), 0)</f>
        <v>8.8896</v>
      </c>
      <c r="J26" s="0"/>
      <c r="K26" s="0"/>
      <c r="L26" s="0"/>
      <c r="M26" s="0"/>
      <c r="P26" s="94" t="s">
        <v>77</v>
      </c>
      <c r="Q26" s="102" t="s">
        <v>77</v>
      </c>
      <c r="R26" s="95" t="s">
        <v>91</v>
      </c>
      <c r="S26" s="95" t="s">
        <v>92</v>
      </c>
      <c r="T26" s="95" t="s">
        <v>91</v>
      </c>
      <c r="U26" s="95" t="s">
        <v>91</v>
      </c>
      <c r="V26" s="95" t="s">
        <v>91</v>
      </c>
      <c r="W26" s="95" t="s">
        <v>91</v>
      </c>
      <c r="X26" s="102" t="s">
        <v>77</v>
      </c>
      <c r="Y26" s="94" t="s">
        <v>77</v>
      </c>
      <c r="Z26" s="0"/>
    </row>
    <row r="27" customFormat="false" ht="34.35" hidden="false" customHeight="true" outlineLevel="0" collapsed="false">
      <c r="A27" s="61" t="s">
        <v>117</v>
      </c>
      <c r="B27" s="66" t="n">
        <v>2</v>
      </c>
      <c r="C27" s="109"/>
      <c r="D27" s="99" t="s">
        <v>118</v>
      </c>
      <c r="E27" s="115" t="n">
        <f aca="false">$K$8*$E$26</f>
        <v>400032</v>
      </c>
      <c r="F27" s="0"/>
      <c r="J27" s="0"/>
      <c r="K27" s="0"/>
      <c r="L27" s="0"/>
      <c r="M27" s="0"/>
      <c r="P27" s="94" t="s">
        <v>77</v>
      </c>
      <c r="Q27" s="94" t="s">
        <v>77</v>
      </c>
      <c r="R27" s="95" t="s">
        <v>77</v>
      </c>
      <c r="S27" s="95" t="s">
        <v>77</v>
      </c>
      <c r="T27" s="95" t="s">
        <v>77</v>
      </c>
      <c r="U27" s="95" t="s">
        <v>77</v>
      </c>
      <c r="V27" s="95" t="s">
        <v>77</v>
      </c>
      <c r="W27" s="95" t="s">
        <v>77</v>
      </c>
      <c r="X27" s="94" t="s">
        <v>77</v>
      </c>
      <c r="Y27" s="94" t="s">
        <v>77</v>
      </c>
      <c r="Z27" s="0"/>
    </row>
    <row r="28" customFormat="false" ht="12.8" hidden="false" customHeight="true" outlineLevel="0" collapsed="false">
      <c r="A28" s="61" t="s">
        <v>119</v>
      </c>
      <c r="B28" s="66" t="n">
        <v>8</v>
      </c>
      <c r="C28" s="109"/>
      <c r="D28" s="116" t="s">
        <v>120</v>
      </c>
      <c r="E28" s="117" t="n">
        <f aca="false">$K$9-$E$27</f>
        <v>840600</v>
      </c>
      <c r="F28" s="0"/>
      <c r="H28" s="0"/>
      <c r="I28" s="0"/>
      <c r="J28" s="0"/>
      <c r="K28" s="0"/>
      <c r="L28" s="0"/>
      <c r="M28" s="0"/>
      <c r="P28" s="94"/>
      <c r="Q28" s="94"/>
      <c r="R28" s="95"/>
      <c r="S28" s="95"/>
      <c r="T28" s="95"/>
      <c r="U28" s="95"/>
      <c r="V28" s="95"/>
      <c r="W28" s="95"/>
      <c r="X28" s="94"/>
      <c r="Y28" s="94"/>
      <c r="Z28" s="0"/>
    </row>
    <row r="29" customFormat="false" ht="12.8" hidden="false" customHeight="true" outlineLevel="0" collapsed="false">
      <c r="A29" s="61" t="s">
        <v>121</v>
      </c>
      <c r="B29" s="66" t="n">
        <v>30</v>
      </c>
      <c r="C29" s="109"/>
      <c r="D29" s="87"/>
      <c r="E29" s="118"/>
      <c r="F29" s="0"/>
      <c r="H29" s="0"/>
      <c r="I29" s="0"/>
      <c r="J29" s="0"/>
      <c r="K29" s="0"/>
      <c r="L29" s="0"/>
      <c r="M29" s="0"/>
      <c r="P29" s="94"/>
      <c r="Q29" s="94"/>
      <c r="R29" s="95"/>
      <c r="S29" s="95"/>
      <c r="T29" s="95"/>
      <c r="U29" s="95"/>
      <c r="V29" s="95"/>
      <c r="W29" s="95"/>
      <c r="X29" s="94"/>
      <c r="Y29" s="94"/>
      <c r="Z29" s="0"/>
    </row>
    <row r="30" customFormat="false" ht="12.8" hidden="false" customHeight="true" outlineLevel="0" collapsed="false">
      <c r="A30" s="61" t="s">
        <v>122</v>
      </c>
      <c r="B30" s="66" t="n">
        <v>20</v>
      </c>
      <c r="C30" s="109"/>
      <c r="D30" s="87"/>
      <c r="E30" s="118"/>
      <c r="F30" s="0"/>
      <c r="G30" s="0"/>
      <c r="H30" s="0"/>
      <c r="I30" s="0"/>
      <c r="J30" s="0"/>
      <c r="K30" s="0"/>
      <c r="L30" s="0"/>
      <c r="M30" s="0"/>
      <c r="P30" s="94"/>
      <c r="Q30" s="94"/>
      <c r="R30" s="95"/>
      <c r="S30" s="95"/>
      <c r="T30" s="95"/>
      <c r="U30" s="95"/>
      <c r="V30" s="95"/>
      <c r="W30" s="95"/>
      <c r="X30" s="94"/>
      <c r="Y30" s="94"/>
      <c r="Z30" s="0"/>
    </row>
    <row r="31" customFormat="false" ht="12.8" hidden="false" customHeight="true" outlineLevel="0" collapsed="false">
      <c r="D31" s="0"/>
      <c r="F31" s="0"/>
      <c r="G31" s="0"/>
      <c r="H31" s="0"/>
      <c r="I31" s="0"/>
      <c r="J31" s="0"/>
      <c r="K31" s="0"/>
      <c r="L31" s="0"/>
      <c r="M31" s="0"/>
      <c r="O31" s="77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</row>
    <row r="32" customFormat="false" ht="12.8" hidden="false" customHeight="true" outlineLevel="0" collapsed="false">
      <c r="D32" s="0"/>
      <c r="F32" s="0"/>
      <c r="G32" s="0"/>
      <c r="H32" s="0"/>
      <c r="I32" s="0"/>
      <c r="J32" s="0"/>
      <c r="K32" s="0"/>
      <c r="L32" s="0"/>
      <c r="M32" s="0"/>
      <c r="O32" s="77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</row>
    <row r="33" customFormat="false" ht="12.8" hidden="false" customHeight="true" outlineLevel="0" collapsed="false">
      <c r="A33" s="28" t="str">
        <f aca="false">_xlfn.CONCAT("Total arena"," ", D12," ,",A12)</f>
        <v>Total arena CHINO ,JESUS</v>
      </c>
      <c r="B33" s="78" t="str">
        <f aca="false">ROUNDUP(   IFERROR(VALUE(_xlfn.ORG.LIBREOFFICE.REGEX($B$15,"[^0-9,.-]","","g")),0)  +IFERROR(VALUE(_xlfn.ORG.LIBREOFFICE.REGEX($B$18,"[^0-9,.-]","","g")),0)  +IFERROR(VALUE(_xlfn.ORG.LIBREOFFICE.REGEX($D$19,"[^0-9,.-]","","g")),0) ,0) &amp; " m³"</f>
        <v>8 m³</v>
      </c>
      <c r="C33" s="79"/>
      <c r="D33" s="0"/>
      <c r="F33" s="0"/>
      <c r="G33" s="0"/>
      <c r="H33" s="0"/>
      <c r="I33" s="0"/>
      <c r="J33" s="0"/>
      <c r="K33" s="0"/>
      <c r="L33" s="1"/>
      <c r="M33" s="1"/>
      <c r="N33" s="1"/>
      <c r="O33" s="77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</row>
    <row r="34" customFormat="false" ht="12.8" hidden="false" customHeight="true" outlineLevel="0" collapsed="false">
      <c r="A34" s="28" t="s">
        <v>96</v>
      </c>
      <c r="B34" s="80" t="str">
        <f aca="false">_xlfn.CONCAT(ROUNDUP($B$16+$E$26,0) &amp;" m³")</f>
        <v>10 m³</v>
      </c>
      <c r="C34" s="81"/>
      <c r="D34" s="0"/>
      <c r="F34" s="0"/>
      <c r="G34" s="0"/>
      <c r="H34" s="0"/>
      <c r="I34" s="0"/>
      <c r="J34" s="0"/>
      <c r="K34" s="0"/>
      <c r="L34" s="1"/>
      <c r="M34" s="1"/>
      <c r="N34" s="1"/>
      <c r="O34" s="77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</row>
    <row r="35" customFormat="false" ht="12.8" hidden="false" customHeight="true" outlineLevel="0" collapsed="false">
      <c r="A35" s="119"/>
      <c r="B35" s="120"/>
      <c r="C35" s="121"/>
      <c r="D35" s="122"/>
      <c r="E35" s="122"/>
      <c r="F35" s="123"/>
      <c r="G35" s="0"/>
      <c r="H35" s="0"/>
      <c r="I35" s="0"/>
      <c r="J35" s="0"/>
      <c r="K35" s="1"/>
      <c r="L35" s="1"/>
      <c r="M35" s="1"/>
      <c r="N35" s="1"/>
      <c r="O35" s="77"/>
      <c r="P35" s="1"/>
      <c r="Q35" s="1"/>
      <c r="R35" s="1"/>
      <c r="S35" s="1"/>
      <c r="T35" s="1"/>
    </row>
    <row r="36" customFormat="false" ht="12.8" hidden="false" customHeight="true" outlineLevel="0" collapsed="false">
      <c r="A36" s="119"/>
      <c r="B36" s="120"/>
      <c r="C36" s="121"/>
      <c r="D36" s="122"/>
      <c r="E36" s="122"/>
      <c r="F36" s="123"/>
      <c r="G36" s="0"/>
      <c r="H36" s="0"/>
      <c r="I36" s="0"/>
      <c r="J36" s="0"/>
      <c r="K36" s="1"/>
      <c r="L36" s="1"/>
      <c r="M36" s="1"/>
      <c r="N36" s="1"/>
      <c r="O36" s="77"/>
      <c r="P36" s="1"/>
      <c r="Q36" s="1"/>
      <c r="R36" s="1"/>
      <c r="S36" s="1"/>
      <c r="T36" s="1"/>
    </row>
    <row r="37" customFormat="false" ht="12.8" hidden="false" customHeight="true" outlineLevel="0" collapsed="false">
      <c r="A37" s="119"/>
      <c r="B37" s="120"/>
      <c r="C37" s="121"/>
      <c r="D37" s="122"/>
      <c r="E37" s="122"/>
      <c r="F37" s="123"/>
      <c r="G37" s="0"/>
      <c r="H37" s="0"/>
      <c r="I37" s="0"/>
      <c r="J37" s="0"/>
      <c r="K37" s="0"/>
      <c r="L37" s="1"/>
      <c r="M37" s="1"/>
      <c r="N37" s="1"/>
      <c r="O37" s="77"/>
      <c r="P37" s="1"/>
      <c r="Q37" s="1"/>
      <c r="R37" s="1"/>
      <c r="S37" s="1"/>
      <c r="T37" s="1"/>
    </row>
    <row r="38" customFormat="false" ht="12.8" hidden="false" customHeight="true" outlineLevel="0" collapsed="false">
      <c r="A38" s="119"/>
      <c r="B38" s="120"/>
      <c r="C38" s="121"/>
      <c r="D38" s="119"/>
      <c r="E38" s="119"/>
      <c r="F38" s="123"/>
      <c r="G38" s="0"/>
      <c r="H38" s="0"/>
      <c r="I38" s="0"/>
      <c r="J38" s="0"/>
      <c r="K38" s="0"/>
      <c r="L38" s="0"/>
      <c r="M38" s="0"/>
      <c r="N38" s="1"/>
      <c r="O38" s="77"/>
      <c r="P38" s="1"/>
      <c r="Q38" s="1"/>
      <c r="R38" s="1"/>
      <c r="S38" s="1"/>
      <c r="T38" s="1"/>
    </row>
    <row r="39" customFormat="false" ht="12.8" hidden="false" customHeight="true" outlineLevel="0" collapsed="false">
      <c r="A39" s="119"/>
      <c r="B39" s="120"/>
      <c r="C39" s="121"/>
      <c r="D39" s="122"/>
      <c r="E39" s="122"/>
      <c r="F39" s="123"/>
      <c r="G39" s="0"/>
      <c r="H39" s="0"/>
      <c r="I39" s="0"/>
      <c r="J39" s="0"/>
      <c r="K39" s="0"/>
      <c r="L39" s="0"/>
      <c r="M39" s="0"/>
      <c r="N39" s="1"/>
      <c r="O39" s="77"/>
      <c r="P39" s="1"/>
      <c r="Q39" s="1"/>
      <c r="R39" s="1"/>
      <c r="S39" s="1"/>
      <c r="T39" s="1"/>
    </row>
    <row r="40" customFormat="false" ht="12.8" hidden="false" customHeight="true" outlineLevel="0" collapsed="false">
      <c r="A40" s="119"/>
      <c r="B40" s="120"/>
      <c r="C40" s="121"/>
      <c r="D40" s="122"/>
      <c r="E40" s="124"/>
      <c r="F40" s="123"/>
      <c r="G40" s="0"/>
      <c r="H40" s="0"/>
      <c r="I40" s="0"/>
      <c r="J40" s="0"/>
      <c r="K40" s="0"/>
      <c r="L40" s="0"/>
      <c r="M40" s="0"/>
      <c r="N40" s="1"/>
      <c r="O40" s="77"/>
      <c r="P40" s="1"/>
      <c r="Q40" s="1"/>
      <c r="R40" s="1"/>
      <c r="S40" s="1"/>
      <c r="T40" s="1"/>
    </row>
    <row r="41" customFormat="false" ht="12.8" hidden="false" customHeight="true" outlineLevel="0" collapsed="false">
      <c r="A41" s="119"/>
      <c r="B41" s="120"/>
      <c r="C41" s="121"/>
      <c r="D41" s="122"/>
      <c r="E41" s="125"/>
      <c r="F41" s="123"/>
      <c r="G41" s="0"/>
      <c r="H41" s="0"/>
      <c r="I41" s="0"/>
      <c r="J41" s="0"/>
      <c r="K41" s="0"/>
      <c r="L41" s="0"/>
      <c r="M41" s="0"/>
      <c r="N41" s="1"/>
      <c r="O41" s="77"/>
      <c r="P41" s="1"/>
      <c r="Q41" s="1"/>
      <c r="R41" s="1"/>
      <c r="S41" s="1"/>
      <c r="T41" s="1"/>
    </row>
    <row r="42" customFormat="false" ht="12.8" hidden="false" customHeight="true" outlineLevel="0" collapsed="false">
      <c r="A42" s="119"/>
      <c r="B42" s="120"/>
      <c r="C42" s="121"/>
      <c r="D42" s="119"/>
      <c r="E42" s="126"/>
      <c r="F42" s="123"/>
      <c r="G42" s="0"/>
      <c r="H42" s="0"/>
      <c r="I42" s="0"/>
      <c r="J42" s="0"/>
      <c r="K42" s="0"/>
      <c r="L42" s="0"/>
      <c r="M42" s="0"/>
      <c r="N42" s="1"/>
      <c r="O42" s="77"/>
      <c r="P42" s="1"/>
      <c r="Q42" s="1"/>
      <c r="R42" s="1"/>
      <c r="S42" s="1"/>
      <c r="T42" s="1"/>
    </row>
    <row r="43" customFormat="false" ht="12.8" hidden="false" customHeight="true" outlineLevel="0" collapsed="false">
      <c r="A43" s="119"/>
      <c r="B43" s="120"/>
      <c r="C43" s="121"/>
      <c r="D43" s="123"/>
      <c r="E43" s="72"/>
      <c r="F43" s="123"/>
      <c r="G43" s="0"/>
      <c r="H43" s="0"/>
      <c r="I43" s="0"/>
      <c r="J43" s="0"/>
      <c r="K43" s="0"/>
      <c r="L43" s="0"/>
      <c r="M43" s="0"/>
      <c r="N43" s="1"/>
      <c r="O43" s="77"/>
      <c r="P43" s="1"/>
      <c r="Q43" s="1"/>
      <c r="R43" s="1"/>
      <c r="S43" s="1"/>
      <c r="T43" s="1"/>
    </row>
    <row r="44" customFormat="false" ht="12.8" hidden="false" customHeight="true" outlineLevel="0" collapsed="false">
      <c r="A44" s="119"/>
      <c r="B44" s="120"/>
      <c r="C44" s="121"/>
      <c r="D44" s="123"/>
      <c r="E44" s="72"/>
      <c r="F44" s="123"/>
      <c r="G44" s="0"/>
      <c r="H44" s="0"/>
      <c r="I44" s="0"/>
      <c r="J44" s="0"/>
      <c r="K44" s="0"/>
      <c r="L44" s="0"/>
      <c r="M44" s="0"/>
      <c r="N44" s="1"/>
      <c r="O44" s="77"/>
      <c r="P44" s="1"/>
      <c r="Q44" s="1"/>
      <c r="R44" s="1"/>
      <c r="S44" s="1"/>
      <c r="T44" s="1"/>
    </row>
    <row r="45" customFormat="false" ht="12.8" hidden="false" customHeight="true" outlineLevel="0" collapsed="false">
      <c r="A45" s="119"/>
      <c r="B45" s="119"/>
      <c r="C45" s="127"/>
      <c r="D45" s="72"/>
      <c r="E45" s="72"/>
      <c r="F45" s="72"/>
      <c r="J45" s="0"/>
      <c r="K45" s="0"/>
      <c r="L45" s="0"/>
      <c r="M45" s="0"/>
      <c r="N45" s="1"/>
      <c r="O45" s="77"/>
      <c r="P45" s="1"/>
      <c r="Q45" s="1"/>
      <c r="R45" s="1"/>
      <c r="S45" s="1"/>
      <c r="T45" s="1"/>
    </row>
    <row r="46" customFormat="false" ht="12.8" hidden="false" customHeight="true" outlineLevel="0" collapsed="false">
      <c r="A46" s="119"/>
      <c r="B46" s="119"/>
      <c r="C46" s="127"/>
      <c r="D46" s="72"/>
      <c r="E46" s="72"/>
      <c r="F46" s="72"/>
      <c r="K46" s="1"/>
      <c r="L46" s="1"/>
      <c r="M46" s="1"/>
      <c r="N46" s="1"/>
      <c r="O46" s="77"/>
      <c r="P46" s="1"/>
      <c r="Q46" s="1"/>
      <c r="R46" s="1"/>
      <c r="S46" s="1"/>
      <c r="T46" s="1"/>
    </row>
    <row r="47" customFormat="false" ht="12.8" hidden="false" customHeight="true" outlineLevel="0" collapsed="false">
      <c r="A47" s="119"/>
      <c r="B47" s="128"/>
      <c r="C47" s="129"/>
      <c r="D47" s="72"/>
      <c r="E47" s="72"/>
      <c r="F47" s="72"/>
      <c r="G47" s="30" t="s">
        <v>131</v>
      </c>
      <c r="K47" s="1"/>
      <c r="L47" s="1"/>
      <c r="M47" s="1"/>
      <c r="N47" s="1"/>
    </row>
    <row r="48" customFormat="false" ht="12.8" hidden="false" customHeight="true" outlineLevel="0" collapsed="false">
      <c r="A48" s="119"/>
      <c r="B48" s="119"/>
      <c r="C48" s="127"/>
      <c r="D48" s="72"/>
      <c r="E48" s="72"/>
      <c r="F48" s="72"/>
      <c r="H48" s="30" t="s">
        <v>132</v>
      </c>
      <c r="K48" s="1"/>
      <c r="L48" s="1"/>
      <c r="M48" s="1"/>
      <c r="N48" s="1"/>
    </row>
    <row r="49" customFormat="false" ht="12.8" hidden="false" customHeight="true" outlineLevel="0" collapsed="false">
      <c r="A49" s="119"/>
      <c r="B49" s="119"/>
      <c r="C49" s="127"/>
      <c r="D49" s="72"/>
      <c r="E49" s="72"/>
      <c r="F49" s="72"/>
      <c r="K49" s="1"/>
      <c r="L49" s="1"/>
      <c r="M49" s="1"/>
      <c r="N49" s="1"/>
    </row>
    <row r="87" customFormat="false" ht="12.8" hidden="false" customHeight="true" outlineLevel="0" collapsed="false">
      <c r="B87" s="28" t="s">
        <v>133</v>
      </c>
    </row>
  </sheetData>
  <mergeCells count="2">
    <mergeCell ref="A12:B12"/>
    <mergeCell ref="D12:E12"/>
  </mergeCells>
  <dataValidations count="1">
    <dataValidation allowBlank="true" errorStyle="stop" operator="equal" showDropDown="false" showErrorMessage="true" showInputMessage="false" sqref="D2 K2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1537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2025-09-18T18:51:34Z</dcterms:created>
  <dc:creator>nuevocorreomadryn@outlook.com</dc:creator>
  <dc:description/>
  <dc:language>es-AR</dc:language>
  <cp:lastModifiedBy/>
  <cp:lastPrinted>2025-09-19T10:42:57Z</cp:lastPrinted>
  <dcterms:modified xsi:type="dcterms:W3CDTF">2025-09-24T21:10:48Z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